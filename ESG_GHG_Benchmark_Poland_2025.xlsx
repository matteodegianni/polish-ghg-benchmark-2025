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tteodegianni/Desktop/Jobs/Materiality Data Analyst/"/>
    </mc:Choice>
  </mc:AlternateContent>
  <xr:revisionPtr revIDLastSave="0" documentId="8_{9BA82A85-447D-9649-8E44-89C1F0369D24}" xr6:coauthVersionLast="47" xr6:coauthVersionMax="47" xr10:uidLastSave="{00000000-0000-0000-0000-000000000000}"/>
  <bookViews>
    <workbookView xWindow="20" yWindow="660" windowWidth="29400" windowHeight="17380" tabRatio="500" activeTab="3" xr2:uid="{00000000-000D-0000-FFFF-FFFF00000000}"/>
  </bookViews>
  <sheets>
    <sheet name="README" sheetId="1" r:id="rId1"/>
    <sheet name="Units" sheetId="2" r:id="rId2"/>
    <sheet name="Units1" sheetId="7" state="hidden" r:id="rId3"/>
    <sheet name="PQ_Output" sheetId="6" r:id="rId4"/>
    <sheet name="Input_Data" sheetId="3" r:id="rId5"/>
    <sheet name="Calculations" sheetId="4" r:id="rId6"/>
    <sheet name="Data_Quality" sheetId="5" r:id="rId7"/>
  </sheets>
  <definedNames>
    <definedName name="DatiEsterni_1" localSheetId="3" hidden="1">PQ_Output!$A$1:$G$9</definedName>
    <definedName name="DatiEsterni_2" localSheetId="2" hidden="1">Units1!$A$1:$C$16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F14" i="5"/>
  <c r="E14" i="5"/>
  <c r="D14" i="5"/>
  <c r="C14" i="5"/>
  <c r="B14" i="5"/>
  <c r="A14" i="5"/>
  <c r="G14" i="5" s="1"/>
  <c r="F13" i="5"/>
  <c r="E13" i="5"/>
  <c r="D13" i="5"/>
  <c r="C13" i="5"/>
  <c r="B13" i="5"/>
  <c r="A13" i="5"/>
  <c r="G13" i="5" s="1"/>
  <c r="G12" i="5"/>
  <c r="F12" i="5"/>
  <c r="E12" i="5"/>
  <c r="D12" i="5"/>
  <c r="C12" i="5"/>
  <c r="B12" i="5"/>
  <c r="A12" i="5"/>
  <c r="E11" i="5"/>
  <c r="D11" i="5"/>
  <c r="C11" i="5"/>
  <c r="B11" i="5"/>
  <c r="A11" i="5"/>
  <c r="E10" i="5"/>
  <c r="D10" i="5"/>
  <c r="C10" i="5"/>
  <c r="B10" i="5"/>
  <c r="A10" i="5"/>
  <c r="E9" i="5"/>
  <c r="D9" i="5"/>
  <c r="C9" i="5"/>
  <c r="B9" i="5"/>
  <c r="A9" i="5"/>
  <c r="E8" i="5"/>
  <c r="D8" i="5"/>
  <c r="C8" i="5"/>
  <c r="B8" i="5"/>
  <c r="A8" i="5"/>
  <c r="E7" i="5"/>
  <c r="D7" i="5"/>
  <c r="C7" i="5"/>
  <c r="B7" i="5"/>
  <c r="A7" i="5"/>
  <c r="E6" i="5"/>
  <c r="D6" i="5"/>
  <c r="C6" i="5"/>
  <c r="B6" i="5"/>
  <c r="A6" i="5"/>
  <c r="E5" i="5"/>
  <c r="D5" i="5"/>
  <c r="C5" i="5"/>
  <c r="B5" i="5"/>
  <c r="A5" i="5"/>
  <c r="E4" i="5"/>
  <c r="D4" i="5"/>
  <c r="C4" i="5"/>
  <c r="B4" i="5"/>
  <c r="A4" i="5"/>
  <c r="F3" i="5"/>
  <c r="E3" i="5"/>
  <c r="D3" i="5"/>
  <c r="C3" i="5"/>
  <c r="B3" i="5"/>
  <c r="A3" i="5"/>
  <c r="G3" i="5" s="1"/>
  <c r="U13" i="4"/>
  <c r="T13" i="4"/>
  <c r="S13" i="4"/>
  <c r="Q13" i="4"/>
  <c r="O13" i="4"/>
  <c r="P13" i="4" s="1"/>
  <c r="J13" i="4"/>
  <c r="G13" i="4"/>
  <c r="F13" i="4"/>
  <c r="E13" i="4"/>
  <c r="D13" i="4"/>
  <c r="H13" i="4" s="1"/>
  <c r="C13" i="4"/>
  <c r="B13" i="4"/>
  <c r="A13" i="4"/>
  <c r="U12" i="4"/>
  <c r="T12" i="4"/>
  <c r="S12" i="4"/>
  <c r="Q12" i="4"/>
  <c r="O12" i="4"/>
  <c r="P12" i="4" s="1"/>
  <c r="J12" i="4"/>
  <c r="G12" i="4"/>
  <c r="F12" i="4"/>
  <c r="E12" i="4"/>
  <c r="D12" i="4"/>
  <c r="H12" i="4" s="1"/>
  <c r="C12" i="4"/>
  <c r="B12" i="4"/>
  <c r="A12" i="4"/>
  <c r="U11" i="4"/>
  <c r="T11" i="4"/>
  <c r="S11" i="4"/>
  <c r="Q11" i="4"/>
  <c r="O11" i="4"/>
  <c r="P11" i="4" s="1"/>
  <c r="J11" i="4"/>
  <c r="G11" i="4"/>
  <c r="F11" i="4"/>
  <c r="E11" i="4"/>
  <c r="D11" i="4"/>
  <c r="H11" i="4" s="1"/>
  <c r="C11" i="4"/>
  <c r="B11" i="4"/>
  <c r="A11" i="4"/>
  <c r="U10" i="4"/>
  <c r="T10" i="4"/>
  <c r="S10" i="4"/>
  <c r="Q10" i="4"/>
  <c r="O10" i="4"/>
  <c r="P10" i="4" s="1"/>
  <c r="J10" i="4"/>
  <c r="G10" i="4"/>
  <c r="F10" i="4"/>
  <c r="E10" i="4"/>
  <c r="D10" i="4"/>
  <c r="H10" i="4" s="1"/>
  <c r="C10" i="4"/>
  <c r="B10" i="4"/>
  <c r="A10" i="4"/>
  <c r="U9" i="4"/>
  <c r="T9" i="4"/>
  <c r="S9" i="4"/>
  <c r="Q9" i="4"/>
  <c r="O9" i="4"/>
  <c r="P9" i="4" s="1"/>
  <c r="J9" i="4"/>
  <c r="G9" i="4"/>
  <c r="F9" i="4"/>
  <c r="E9" i="4"/>
  <c r="D9" i="4"/>
  <c r="H9" i="4" s="1"/>
  <c r="C9" i="4"/>
  <c r="B9" i="4"/>
  <c r="A9" i="4"/>
  <c r="U8" i="4"/>
  <c r="T8" i="4"/>
  <c r="S8" i="4"/>
  <c r="Q8" i="4"/>
  <c r="O8" i="4"/>
  <c r="P8" i="4" s="1"/>
  <c r="J8" i="4"/>
  <c r="G8" i="4"/>
  <c r="F8" i="4"/>
  <c r="H8" i="4" s="1"/>
  <c r="E8" i="4"/>
  <c r="D8" i="4"/>
  <c r="C8" i="4"/>
  <c r="B8" i="4"/>
  <c r="A8" i="4"/>
  <c r="U7" i="4"/>
  <c r="T7" i="4"/>
  <c r="S7" i="4"/>
  <c r="Q7" i="4"/>
  <c r="P7" i="4"/>
  <c r="O7" i="4"/>
  <c r="J7" i="4"/>
  <c r="G7" i="4"/>
  <c r="F7" i="4"/>
  <c r="H7" i="4" s="1"/>
  <c r="E7" i="4"/>
  <c r="D7" i="4"/>
  <c r="C7" i="4"/>
  <c r="B7" i="4"/>
  <c r="A7" i="4"/>
  <c r="U6" i="4"/>
  <c r="T6" i="4"/>
  <c r="S6" i="4"/>
  <c r="Q6" i="4"/>
  <c r="O6" i="4"/>
  <c r="P6" i="4" s="1"/>
  <c r="J6" i="4"/>
  <c r="H6" i="4"/>
  <c r="M6" i="4" s="1"/>
  <c r="G6" i="4"/>
  <c r="F6" i="4"/>
  <c r="E6" i="4"/>
  <c r="D6" i="4"/>
  <c r="C6" i="4"/>
  <c r="B6" i="4"/>
  <c r="A6" i="4"/>
  <c r="U5" i="4"/>
  <c r="T5" i="4"/>
  <c r="S5" i="4"/>
  <c r="Q5" i="4"/>
  <c r="O5" i="4"/>
  <c r="P5" i="4" s="1"/>
  <c r="J5" i="4"/>
  <c r="H5" i="4"/>
  <c r="M5" i="4" s="1"/>
  <c r="G5" i="4"/>
  <c r="F5" i="4"/>
  <c r="E5" i="4"/>
  <c r="D5" i="4"/>
  <c r="C5" i="4"/>
  <c r="B5" i="4"/>
  <c r="A5" i="4"/>
  <c r="U4" i="4"/>
  <c r="T4" i="4"/>
  <c r="S4" i="4"/>
  <c r="Q4" i="4"/>
  <c r="O4" i="4"/>
  <c r="J4" i="4"/>
  <c r="P4" i="4" s="1"/>
  <c r="G4" i="4"/>
  <c r="F4" i="4"/>
  <c r="E4" i="4"/>
  <c r="D4" i="4"/>
  <c r="H4" i="4" s="1"/>
  <c r="C4" i="4"/>
  <c r="B4" i="4"/>
  <c r="A4" i="4"/>
  <c r="U3" i="4"/>
  <c r="T3" i="4"/>
  <c r="S3" i="4"/>
  <c r="Q3" i="4"/>
  <c r="O3" i="4"/>
  <c r="P3" i="4" s="1"/>
  <c r="J3" i="4"/>
  <c r="G3" i="4"/>
  <c r="F3" i="4"/>
  <c r="E3" i="4"/>
  <c r="D3" i="4"/>
  <c r="H3" i="4" s="1"/>
  <c r="C3" i="4"/>
  <c r="B3" i="4"/>
  <c r="A3" i="4"/>
  <c r="U2" i="4"/>
  <c r="T2" i="4"/>
  <c r="S2" i="4"/>
  <c r="Q2" i="4"/>
  <c r="O2" i="4"/>
  <c r="P2" i="4" s="1"/>
  <c r="J2" i="4"/>
  <c r="G2" i="4"/>
  <c r="F2" i="4"/>
  <c r="E2" i="4"/>
  <c r="D2" i="4"/>
  <c r="H2" i="4" s="1"/>
  <c r="C2" i="4"/>
  <c r="B2" i="4"/>
  <c r="A2" i="4"/>
  <c r="C19" i="2"/>
  <c r="C18" i="2"/>
  <c r="C15" i="2"/>
  <c r="C14" i="2"/>
  <c r="C11" i="2"/>
  <c r="C10" i="2"/>
  <c r="I3" i="4" l="1"/>
  <c r="L3" i="4" s="1"/>
  <c r="R3" i="4" s="1"/>
  <c r="F4" i="5" s="1"/>
  <c r="G4" i="5" s="1"/>
  <c r="M3" i="4"/>
  <c r="K3" i="4"/>
  <c r="M8" i="4"/>
  <c r="K8" i="4"/>
  <c r="I8" i="4"/>
  <c r="L8" i="4" s="1"/>
  <c r="R8" i="4" s="1"/>
  <c r="F9" i="5" s="1"/>
  <c r="G9" i="5" s="1"/>
  <c r="I12" i="4"/>
  <c r="K12" i="4"/>
  <c r="M12" i="4"/>
  <c r="M9" i="4"/>
  <c r="K9" i="4"/>
  <c r="I9" i="4"/>
  <c r="N3" i="4"/>
  <c r="K4" i="4"/>
  <c r="M4" i="4"/>
  <c r="I4" i="4"/>
  <c r="L4" i="4" s="1"/>
  <c r="R4" i="4" s="1"/>
  <c r="F5" i="5" s="1"/>
  <c r="G5" i="5" s="1"/>
  <c r="I13" i="4"/>
  <c r="L13" i="4" s="1"/>
  <c r="R13" i="4" s="1"/>
  <c r="M13" i="4"/>
  <c r="K13" i="4"/>
  <c r="K10" i="4"/>
  <c r="I10" i="4"/>
  <c r="M10" i="4"/>
  <c r="N4" i="4"/>
  <c r="M7" i="4"/>
  <c r="K7" i="4"/>
  <c r="I7" i="4"/>
  <c r="L7" i="4" s="1"/>
  <c r="R7" i="4" s="1"/>
  <c r="F8" i="5" s="1"/>
  <c r="G8" i="5" s="1"/>
  <c r="I2" i="4"/>
  <c r="K2" i="4"/>
  <c r="M2" i="4"/>
  <c r="K11" i="4"/>
  <c r="I11" i="4"/>
  <c r="M11" i="4"/>
  <c r="I5" i="4"/>
  <c r="L5" i="4" s="1"/>
  <c r="R5" i="4" s="1"/>
  <c r="F6" i="5" s="1"/>
  <c r="G6" i="5" s="1"/>
  <c r="I6" i="4"/>
  <c r="L6" i="4" s="1"/>
  <c r="R6" i="4" s="1"/>
  <c r="F7" i="5" s="1"/>
  <c r="G7" i="5" s="1"/>
  <c r="K5" i="4"/>
  <c r="K6" i="4"/>
  <c r="L10" i="4" l="1"/>
  <c r="R10" i="4" s="1"/>
  <c r="F11" i="5" s="1"/>
  <c r="G11" i="5" s="1"/>
  <c r="N10" i="4"/>
  <c r="N13" i="4"/>
  <c r="N2" i="4"/>
  <c r="L2" i="4"/>
  <c r="R2" i="4" s="1"/>
  <c r="N8" i="4"/>
  <c r="L12" i="4"/>
  <c r="R12" i="4" s="1"/>
  <c r="N12" i="4"/>
  <c r="N6" i="4"/>
  <c r="L9" i="4"/>
  <c r="R9" i="4" s="1"/>
  <c r="F10" i="5" s="1"/>
  <c r="G10" i="5" s="1"/>
  <c r="N9" i="4"/>
  <c r="N11" i="4"/>
  <c r="L11" i="4"/>
  <c r="R11" i="4" s="1"/>
  <c r="N7" i="4"/>
  <c r="N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F48F5-B196-1F4E-A63A-2C37F69D575B}" keepAlive="1" name="Query - GHG_Consolidated_PQ" description="Connessione alla query 'GHG_Consolidated_PQ' nella cartella di lavoro." type="5" refreshedVersion="8" background="1" saveData="1">
    <dbPr connection="Provider=Microsoft.Mashup.OleDb.1;Data Source=$Workbook$;Location=GHG_Consolidated_PQ;Extended Properties=&quot;&quot;" command="SELECT * FROM [GHG_Consolidated_PQ]"/>
  </connection>
  <connection id="2" xr16:uid="{1DBFA07A-DA19-364E-B604-BE64FA9E5C99}" keepAlive="1" name="Query - Units1" description="Connessione alla query 'Units1' nella cartella di lavoro." type="5" refreshedVersion="8" background="1" saveData="1">
    <dbPr connection="Provider=Microsoft.Mashup.OleDb.1;Data Source=$Workbook$;Location=Units1;Extended Properties=&quot;&quot;" command="SELECT * FROM [Units1]"/>
  </connection>
</connections>
</file>

<file path=xl/sharedStrings.xml><?xml version="1.0" encoding="utf-8"?>
<sst xmlns="http://schemas.openxmlformats.org/spreadsheetml/2006/main" count="469" uniqueCount="251">
  <si>
    <t>Polish Corporate GHG Benchmark (ESRS E1, reporting year 2025)</t>
  </si>
  <si>
    <t>Purpose</t>
  </si>
  <si>
    <t>Collect, consolidate and validate climate data from the first ESRS sustainability statements of Polish listed companies, normalise units, and calculate comparable emission-intensity indicators.</t>
  </si>
  <si>
    <t>Workflow</t>
  </si>
  <si>
    <t>1. Input_Data: one row per company. Type values exactly as reported and choose the reported unit from the dropdowns. Blue text = input.</t>
  </si>
  <si>
    <t>2. Units: conversion factors to base units (tCO2e, PLN m, MWh). Only the EUR/PLN rate is an input.</t>
  </si>
  <si>
    <t>3. Calculations: normalised values and KPIs, all formula-driven. Do not type here.</t>
  </si>
  <si>
    <t>4. Data_Quality: automatic checks per company plus a manual issue log.</t>
  </si>
  <si>
    <t>5. Power Query: load the tables Input_Data and Units, merge on unit, recreate the conversions, and check the result matches the Calculations sheet.</t>
  </si>
  <si>
    <t>6. Dashboard: load the Calculations sheet into Tableau Public or Power BI.</t>
  </si>
  <si>
    <t>Where to find the data in an ESRS report</t>
  </si>
  <si>
    <t>Scope 1, 2 (location- and market-based), 3: disclosure E1-6 'Gross Scopes 1, 2, 3 and Total GHG emissions' table.</t>
  </si>
  <si>
    <t>GHG intensity per net revenue: E1-6, usually right below the emissions table. Use it to validate your own calculation.</t>
  </si>
  <si>
    <t>Energy consumption: disclosure E1-5.</t>
  </si>
  <si>
    <t>Employees: disclosure S1-6 (note if headcount or FTE).</t>
  </si>
  <si>
    <t>EU Taxonomy turnover / CapEx / OpEx KPIs: Taxonomy section (Article 8 tables), aligned share.</t>
  </si>
  <si>
    <t>Net revenue: consolidated income statement, or the denominator stated in E1-6.</t>
  </si>
  <si>
    <t>Polish versions: search 'Zakres 1', 'E1-6', 'intensywność'.</t>
  </si>
  <si>
    <t>Scope and conventions</t>
  </si>
  <si>
    <t>Companies: non-financial only. Banks and insurers are excluded because financed emissions (Scope 3 category 15) are not comparable.</t>
  </si>
  <si>
    <t>Totals use market-based Scope 2, consistent with the ESRS intensity metric. Location-based values are kept for comparison.</t>
  </si>
  <si>
    <t>Source: reports listed in the MATERIALITY ESRS reports database (esrsreports.materiality.pl) and company websites.</t>
  </si>
  <si>
    <t>Row 2 of Input_Data is a fictional example showing the format. Delete it or overwrite it once real data is entered.</t>
  </si>
  <si>
    <t>Assumption</t>
  </si>
  <si>
    <t>EUR/PLN average rate for the reporting year (verify on NBP)</t>
  </si>
  <si>
    <t>Unit</t>
  </si>
  <si>
    <t>Type</t>
  </si>
  <si>
    <t>Factor_to_Base</t>
  </si>
  <si>
    <t>tCO2e</t>
  </si>
  <si>
    <t>GHG</t>
  </si>
  <si>
    <t>ktCO2e</t>
  </si>
  <si>
    <t>MtCO2e</t>
  </si>
  <si>
    <t>PLN thousand</t>
  </si>
  <si>
    <t>Revenue</t>
  </si>
  <si>
    <t>PLN million</t>
  </si>
  <si>
    <t>EUR thousand</t>
  </si>
  <si>
    <t>EUR million</t>
  </si>
  <si>
    <t>MWh</t>
  </si>
  <si>
    <t>Energy</t>
  </si>
  <si>
    <t>GWh</t>
  </si>
  <si>
    <t>GJ</t>
  </si>
  <si>
    <t>TJ</t>
  </si>
  <si>
    <t>tCO2e / PLN million</t>
  </si>
  <si>
    <t>Intensity</t>
  </si>
  <si>
    <t>tCO2e / PLN thousand</t>
  </si>
  <si>
    <t>tCO2e / EUR million</t>
  </si>
  <si>
    <t>tCO2e / EUR thousand</t>
  </si>
  <si>
    <t>Base units: tCO2e (GHG), PLN million (revenue), MWh (energy), tCO2e per PLN million (intensity).</t>
  </si>
  <si>
    <t>Company_ID</t>
  </si>
  <si>
    <t>Company</t>
  </si>
  <si>
    <t>Sector</t>
  </si>
  <si>
    <t>Reporting_Period</t>
  </si>
  <si>
    <t>Scope1</t>
  </si>
  <si>
    <t>Scope2_LB</t>
  </si>
  <si>
    <t>Scope2_MB</t>
  </si>
  <si>
    <t>Scope3</t>
  </si>
  <si>
    <t>GHG_Unit</t>
  </si>
  <si>
    <t>Net_Revenue</t>
  </si>
  <si>
    <t>Revenue_Unit</t>
  </si>
  <si>
    <t>Employees</t>
  </si>
  <si>
    <t>Employee_Basis</t>
  </si>
  <si>
    <t>Energy_Consumption</t>
  </si>
  <si>
    <t>Energy_Unit</t>
  </si>
  <si>
    <t>Reported_GHG_Intensity_MB</t>
  </si>
  <si>
    <t>Intensity_Unit</t>
  </si>
  <si>
    <t>Taxonomy_Turnover_Aligned</t>
  </si>
  <si>
    <t>Taxonomy_CapEx_Aligned</t>
  </si>
  <si>
    <t>Taxonomy_OpEx_Aligned</t>
  </si>
  <si>
    <t>Source_Pages</t>
  </si>
  <si>
    <t>Notes</t>
  </si>
  <si>
    <t>PGE</t>
  </si>
  <si>
    <t>PGE Polska Grupa Energetyczna</t>
  </si>
  <si>
    <t>Energy utilities</t>
  </si>
  <si>
    <t>FY2025</t>
  </si>
  <si>
    <t>Headcount</t>
  </si>
  <si>
    <t>Management Board report 2025 (unofficial PDF): E1-6 table p.258; intensity p.259; E1-5 p.~256; S1-6 section 9.3.1.8; Taxonomy KPI summary; revenue key financial data p.7</t>
  </si>
  <si>
    <t>Reported intensity 0.0013 t/PLN converted to 1,300 t/PLN m. Scope 1 98.98% under EU ETS. Employees = headcount at year end (average 42,329).</t>
  </si>
  <si>
    <t>TPE</t>
  </si>
  <si>
    <t>Tauron Polska Energia</t>
  </si>
  <si>
    <t>Management report 2025 (SprZarzadu): E1-6 Table 137 p.317-318; intensity Table 138; E1-5 energy table; S1-6 Table 168; Taxonomy KPI templates</t>
  </si>
  <si>
    <t>Reported intensity 0.000807 t/PLN converted to 807 t/PLN m. Revenue = intensity denominator 33,277 PLN m (Przychody ze sprzedazy). Scope 1 98% under EU ETS.</t>
  </si>
  <si>
    <t>KGH</t>
  </si>
  <si>
    <t>KGHM Polska Miedz</t>
  </si>
  <si>
    <t>Metals and mining</t>
  </si>
  <si>
    <t>Management Board report 2025: E1-6 Table 126 (Group) p.231; intensity Table 127; E1-5 p.229-230; S1-6 Table 143 p.274; Taxonomy summary KPIs</t>
  </si>
  <si>
    <t>Group table used (Table 125 = parent company only). Scope 1 77.9% under EU ETS. Taxonomy alignment not assessed in 2025. Limited assurance.</t>
  </si>
  <si>
    <t>KTY</t>
  </si>
  <si>
    <t>Grupa Kety</t>
  </si>
  <si>
    <t>Industrial manufacturing</t>
  </si>
  <si>
    <t>Sustainability statement 2025: E1-6 Table 50 p.42; intensity Table 53 p.46-47; E1-5 energy table; S1-6 p.~60; Taxonomy Table 43</t>
  </si>
  <si>
    <t>Only location-based intensity disclosed (242.7 t/PLN m), so MB check not possible; LB recomputed 242.8 matches. Revenue = Taxonomy denominator 5,494.6 PLN m. Average employment 6,251.</t>
  </si>
  <si>
    <t>ZAB</t>
  </si>
  <si>
    <t>Grupa Zabka</t>
  </si>
  <si>
    <t>Food retail</t>
  </si>
  <si>
    <t>Annual Report 2025: E1-6 p.135-136 (Group table); intensity (Group) E1; energy E1-5 p.134-135; S1-6 p.137; Taxonomy summary KPIs</t>
  </si>
  <si>
    <t>Group level (Zabka Polska also disclosed separately). Franchise model: store electricity in Scope 3 cat. 14. Taxonomy OpEx not material (exemption). Limited assurance.</t>
  </si>
  <si>
    <t>DNP</t>
  </si>
  <si>
    <t>Dino Polska</t>
  </si>
  <si>
    <t>E1-6 p.73; intensity p.75; E1-5 p.72; employees p.58/84; Taxonomy p.66-69</t>
  </si>
  <si>
    <t>Revenue = consolidated sales. Employees = headcount at 31.12.2025 (S1-6). Taxonomy: turnover not assessed (exemption), CapEx eligible 38.9% aligned 0%, OpEx 0%. Limited assurance by KPMG.</t>
  </si>
  <si>
    <t>OPL</t>
  </si>
  <si>
    <t>Orange Polska</t>
  </si>
  <si>
    <t>Telecommunications</t>
  </si>
  <si>
    <t>E1-6 p.122 ; E1-5 P.121 ; Intensity p.123  ; Employees p.143 ; Taxonomy p.173</t>
  </si>
  <si>
    <t>Group level. Revenue PLN 13,133m (consolidated). Taxonomy alignment not assessed (materiality exemption, Reg. 2026/73). FTE 7,793.</t>
  </si>
  <si>
    <t>ALE</t>
  </si>
  <si>
    <t>Allegro.eu</t>
  </si>
  <si>
    <t>E-commerce</t>
  </si>
  <si>
    <t>E1.3/E1.6 (E1-6); intensity E1.13; energy E1.1; employees S1.3; Taxonomy summary; revenue p.384 + note 18.2 p.428</t>
  </si>
  <si>
    <t>Group boundary (not Polish Operations). Revenue = continuing 11,458.1 + discontinued Mall South 427.7 (PLN m). Taxonomy turnover aligned 0.001%. Limited assurance.</t>
  </si>
  <si>
    <t>Scope1_t</t>
  </si>
  <si>
    <t>Scope2_LB_t</t>
  </si>
  <si>
    <t>Scope2_MB_t</t>
  </si>
  <si>
    <t>Scope3_t</t>
  </si>
  <si>
    <t>Total_S12_MB_t</t>
  </si>
  <si>
    <t>Total_S123_MB_t</t>
  </si>
  <si>
    <t>Revenue_PLNm</t>
  </si>
  <si>
    <t>Intensity_S12_MB (t/PLN m)</t>
  </si>
  <si>
    <t>Intensity_S123_MB (t/PLN m)</t>
  </si>
  <si>
    <t>S12_MB_per_Employee (t)</t>
  </si>
  <si>
    <t>Scope3_Share</t>
  </si>
  <si>
    <t>Energy_MWh</t>
  </si>
  <si>
    <t>Energy_Intensity (MWh/PLN m)</t>
  </si>
  <si>
    <t>Reported_Intensity (t/PLN m)</t>
  </si>
  <si>
    <t>Intensity_Deviation</t>
  </si>
  <si>
    <t>Taxonomy_Turnover</t>
  </si>
  <si>
    <t>Taxonomy_CapEx</t>
  </si>
  <si>
    <t>Taxonomy_OpEx</t>
  </si>
  <si>
    <t>Automatic checks</t>
  </si>
  <si>
    <t>Tolerance for intensity check</t>
  </si>
  <si>
    <t>Missing core values</t>
  </si>
  <si>
    <t>Units complete</t>
  </si>
  <si>
    <t>Employee basis</t>
  </si>
  <si>
    <t>Period</t>
  </si>
  <si>
    <t>Intensity vs reported</t>
  </si>
  <si>
    <t>Status</t>
  </si>
  <si>
    <t>Issue log</t>
  </si>
  <si>
    <t>Issue type</t>
  </si>
  <si>
    <t>Description</t>
  </si>
  <si>
    <t>Impact on comparability</t>
  </si>
  <si>
    <t>Resolution</t>
  </si>
  <si>
    <t>Methodology unclear</t>
  </si>
  <si>
    <t>Scope 2 market-based (207,858 t) higher than location-based (135,019 t): no guarantees of origin, residual mix factor 808.3 vs grid average 524.9 tCO2/GWh</t>
  </si>
  <si>
    <t>MB total higher than LB; not an error</t>
  </si>
  <si>
    <t>Kept both values; totals use MB</t>
  </si>
  <si>
    <t>Scope 3 is 96.6% of total; category 1 (purchased goods) is spend-based using Climatiq factors. Company states high measurement uncertainty</t>
  </si>
  <si>
    <t>Intensity driven by an estimate</t>
  </si>
  <si>
    <t>Flagged in README</t>
  </si>
  <si>
    <t>Location-based factor uses KOBIZE 2024 value for 2025 consumption (latest available)</t>
  </si>
  <si>
    <t>One-year lag in grid factor</t>
  </si>
  <si>
    <t>Noted, no adjustment</t>
  </si>
  <si>
    <t>Boundary or scope difference</t>
  </si>
  <si>
    <t>Taxonomy turnover KPI not assessed: eligible activities below 10% materiality threshold (Delegated Reg. 2026/73)</t>
  </si>
  <si>
    <t>0% not comparable with companies that assessed the KPI</t>
  </si>
  <si>
    <t>Recorded as 0%, flagged</t>
  </si>
  <si>
    <t>Other</t>
  </si>
  <si>
    <t>No GHG reduction targets disclosed (E1-6 target columns empty, no formal transition plan in E1-1)</t>
  </si>
  <si>
    <t>Cannot assess progress against targets</t>
  </si>
  <si>
    <t>Noted in README</t>
  </si>
  <si>
    <t>Emissions include Mall South (Slovenia, Croatia; held for sale at 31.12.2025, SPA signed 7 Jan 2026). Its revenue (PLN 427.7m) sits in discontinued operations (note 18.2) and was added back to match the emissions boundary</t>
  </si>
  <si>
    <t>Continuing revenue only would overstate intensity by 5.8%</t>
  </si>
  <si>
    <t>Revenue = 11,458.1 + 427.7 = 11,885.8 PLN m</t>
  </si>
  <si>
    <t>Reported intensity (35.1) uses revenue plus other operating income incl. discontinued (PLN 12,103.4m). Net revenue only gives 35.8 (+2.0%)</t>
  </si>
  <si>
    <t>Reported intensity slightly understated vs strict net revenue</t>
  </si>
  <si>
    <t>Kept net revenue for consistency across companies</t>
  </si>
  <si>
    <t>Restatement</t>
  </si>
  <si>
    <t>2024 Scope 3 restated using primary supplier data; Polish Operations category 1 cut from 235,321 to 146,733 tCO2e</t>
  </si>
  <si>
    <t>2024 comparatives in older reports not comparable</t>
  </si>
  <si>
    <t>Only 2025 used</t>
  </si>
  <si>
    <t>Report shows Group and Polish Operations separately; Group used. Non-Polish operations ~22% of market-based total</t>
  </si>
  <si>
    <t>Mixing boundaries would distort comparison</t>
  </si>
  <si>
    <t>Group boundary for all companies</t>
  </si>
  <si>
    <t>SBTi target -43% Scope 1+2 by 2030 described as vs 2024 in strategy text but vs 2021 base year elsewhere (14.2 kt matches 2021). 2025 MB Scope 1+2 (5.8 kt) already below 2030 level, driven by guarantees of origin (58% renewable); location-based Scope 1+2 is +35% vs 2021</t>
  </si>
  <si>
    <t>Market-based progress relies on certificates, not lower consumption</t>
  </si>
  <si>
    <t>Unit inconsistency</t>
  </si>
  <si>
    <t>Intensity reported per PLN thousand and rounded to 2 decimals (0.04), i.e. 35-45 t per PLN m (+/-12%)</t>
  </si>
  <si>
    <t>Validation much less precise than for other companies</t>
  </si>
  <si>
    <t>Converted to t/PLN m; computed 39.75</t>
  </si>
  <si>
    <t>Orange Energia (electricity resale) sold in H1 2025; Scope 3 includes its H1 emissions (22,296 t, cat. 3.3). Totals excluding OE also disclosed (Scope 3: 455,963 t)</t>
  </si>
  <si>
    <t>Scope 3 falls partly due to divestment, not reductions</t>
  </si>
  <si>
    <t>Used totals incl. OE, consistent with reported intensity</t>
  </si>
  <si>
    <t>Emissions consolidated under operational control, while Dino and Allegro follow the financial consolidation boundary</t>
  </si>
  <si>
    <t>Small boundary differences across companies</t>
  </si>
  <si>
    <t>Scope 2 market-based 97% below location-based (7,354 vs 272,838 t): 100% renewable electricity via PPAs and guarantees of origin without PPA (114,028 MWh)</t>
  </si>
  <si>
    <t>Market-based progress relies on contractual instruments</t>
  </si>
  <si>
    <t>Kept both values</t>
  </si>
  <si>
    <t>Taxonomy alignment not assessed in 2025: &gt;90% of activity not eligible, materiality exemption (Reg. 2026/73)</t>
  </si>
  <si>
    <t>0% means not assessed, not confirmed non-aligned</t>
  </si>
  <si>
    <t>Franchise model: emissions of franchised stores (242,231 t) are in Scope 3 category 14, while Dino reports store energy in Scope 1 and 2</t>
  </si>
  <si>
    <t>Scope 1+2 and per-employee KPIs not comparable between Dino and Zabka; use total intensity</t>
  </si>
  <si>
    <t>Compare food retailers on total (S1+2+3) intensity only</t>
  </si>
  <si>
    <t>Only 4,257 employees (headcount): franchisee staff are not Group employees (Dino: 55,856)</t>
  </si>
  <si>
    <t>Emissions per employee meaningless across business models</t>
  </si>
  <si>
    <t>Excluded from cross-company comparison</t>
  </si>
  <si>
    <t>Location-based total (3,592,616 t) exceeds Scope 1 + Scope 2 LB + reported Scope 3 by 155,536 t; likely Scope 3 (e.g. franchise electricity) recalculated location-based, not disclosed separately</t>
  </si>
  <si>
    <t>LB totals cannot be rebuilt from disclosed components</t>
  </si>
  <si>
    <t>Market-based totals used (they reconcile exactly)</t>
  </si>
  <si>
    <t>Report gives Group and Zabka Polska (about 90% of emissions) figures separately; Group intensity disclosed for the first time (no 2024 comparative)</t>
  </si>
  <si>
    <t>Group figures used</t>
  </si>
  <si>
    <t>Taxonomy: no eligible or aligned turnover; CapEx aligned 8.2% (eligible 58.2%, logistics centres); OpEx not material under exemption</t>
  </si>
  <si>
    <t>OpEx 0% means not assessed</t>
  </si>
  <si>
    <t>Missing value</t>
  </si>
  <si>
    <t>Only location-based GHG intensity disclosed (242.7 t/PLN m); market-based intensity missing although ESRS E1-6 requires both</t>
  </si>
  <si>
    <t>Automatic MB check not possible</t>
  </si>
  <si>
    <t>Recomputed LB: 1,333,852 / 5,494.6 = 242.8, matches. Computed MB: 244.0</t>
  </si>
  <si>
    <t>Scope 2 market-based (118,957 t) above location-based (112,196 t) despite 20,030 MWh of guarantees of origin; MB uses supplier-specific factors</t>
  </si>
  <si>
    <t>Same pattern as Dino</t>
  </si>
  <si>
    <t>Scope 3 category 1 partly spend-based using US EPA supply chain factors for a European supply chain; category 2 fell 82% (30,543 to 5,592 t) without explanation</t>
  </si>
  <si>
    <t>Scope 3 (88.5% of total) driven by estimates</t>
  </si>
  <si>
    <t>Boundary combines operational and financial control; 2024 not recalculated for Selt acquisition (Sept 2024)</t>
  </si>
  <si>
    <t>Year-on-year trend slightly distorted</t>
  </si>
  <si>
    <t>Highest Taxonomy alignment in sample: turnover 25.5% (aluminium window and shading systems, CCM 3.5), CapEx 8.6%, OpEx 38.0%. Previous target (-25% intensity) met in 2024; new absolute Scope 1+2 target with 2024 base year, net zero by 2050</t>
  </si>
  <si>
    <t>Only company with material aligned turnover</t>
  </si>
  <si>
    <t>Report gives parent company (Table 125) and Group (Table 126) separately; Group used. Joint ventures are reported in Scope 3 category 15 (1,099,433 t, 43.5% of Scope 3)</t>
  </si>
  <si>
    <t>Large share of emissions outside Scope 1-2 boundary</t>
  </si>
  <si>
    <t>Group figures used; cat. 15 flagged</t>
  </si>
  <si>
    <t>77.9% of Scope 1 covered by EU ETS: only company in sample with regulated emissions so far</t>
  </si>
  <si>
    <t>Carbon cost exposure, not comparable with retail</t>
  </si>
  <si>
    <t>Scope 2 market-based (2,105,896 t) 35% above location-based (1,554,657 t) and up 9.4% YoY; parent company S1+2 MB is +10.5% vs 2020 base year against a -30% by 2030 target</t>
  </si>
  <si>
    <t>Moving away from target on market-based view</t>
  </si>
  <si>
    <t>Scope 3 category 1 fell 46.5% and category 4 fell 45.3% YoY without explanation in the report; Scope 3 total -21.5%</t>
  </si>
  <si>
    <t>Year-on-year Scope 3 trend unreliable</t>
  </si>
  <si>
    <t>Taxonomy alignment not assessed in 2025 (footnote 57), although 2024 reported aligned turnover 0.87%, CapEx 3.92%, OpEx 2.04%. Table captions say 2024 but data are 2025</t>
  </si>
  <si>
    <t>0% means not assessed; drop vs 2024 is a reporting change</t>
  </si>
  <si>
    <t>Intensity published in t CO2e per PLN with 4 decimals (0.0013), i.e. 1,250-1,350 t per PLN m (+/-3.8%). Computed 1,260 (-3.1%)</t>
  </si>
  <si>
    <t>Validation passes only within rounding range</t>
  </si>
  <si>
    <t>Converted to t/PLN m; computed value used</t>
  </si>
  <si>
    <t>Scope 2 market-based equals location-based: market-based uses national average grid factors instead of residual mix, no contractual instruments</t>
  </si>
  <si>
    <t>Market-based not comparable with Dino or Kety (residual mix / supplier factors)</t>
  </si>
  <si>
    <t>Breakdown table inconsistent: row labelled parent company (52,200,270 t) equals the Group total, while consolidated group row shows 52,199,862 t; parent + subsidiaries does not add up to consolidated</t>
  </si>
  <si>
    <t>Internal arithmetic error in disclosure</t>
  </si>
  <si>
    <t>Group total from main E1-6 table used</t>
  </si>
  <si>
    <t>Scope 1 is 67% of total and 98.98% under EU ETS; Scope 3 dominated by category 3 (21.3 Mt, 89%), calculated only with database factors, no supplier data. Energy consumption (149.5 TWh) includes fuel burned for power generation</t>
  </si>
  <si>
    <t>Energy and emission intensities not comparable with non-utilities</t>
  </si>
  <si>
    <t>Compare utilities only with each other</t>
  </si>
  <si>
    <t>High Taxonomy alignment: turnover 24.6% (grids CCM 4.9, wind CCM 4.3, rail infrastructure), CapEx 42.9%, OpEx 41.2%, while total emissions remain the highest in the sample</t>
  </si>
  <si>
    <t>Green investment coexists with coal-heavy generation</t>
  </si>
  <si>
    <t>Scope 1 rose 6.3% YoY (9.24 to 9.83 Mt) due to higher coal-fired generation; 98% under EU ETS. Scope 1 is 71% of the 2022 base year; targets shown as 29% of base by 2030 and 0% by 2040</t>
  </si>
  <si>
    <t>Utility emissions driven by dispatch, not structural trend</t>
  </si>
  <si>
    <t>Scope 2 includes purchased electricity covering distribution grid losses (loss rate 3.5% in 2025 vs 2% in 2024), so Scope 2 LB rose 57% YoY</t>
  </si>
  <si>
    <t>Scope 2 not comparable with non-grid companies</t>
  </si>
  <si>
    <t>Scope 3 dominated by category 3 (11.5 Mt, 72%); category 15 investments 2.0 Mt; categories 1 and 2 spend-based, rising with spend and factors</t>
  </si>
  <si>
    <t>Scope 3 trend driven by estimates</t>
  </si>
  <si>
    <t>Energy data for 2025 include TAURON Sprzedaz (PPA with guarantees of origin), not included in 2024</t>
  </si>
  <si>
    <t>Energy YoY change partly boundary-driven</t>
  </si>
  <si>
    <t>Highest Taxonomy alignment in sample: turnover 38.8%, CapEx 84.5%, OpEx 74.2% (grids and renewables), despite 26.8 Mt total emissions. Intensity disclosed with 6 decimals (0.000807 t/PLN): precise, computed 806.8 matches</t>
  </si>
  <si>
    <t>Green investment coexists with coal generation (as for PGE)</t>
  </si>
  <si>
    <t>Total_MB_t</t>
  </si>
  <si>
    <t>Intensity_PQ</t>
  </si>
  <si>
    <t>Energy_Intensity_PQ</t>
  </si>
  <si>
    <t>Check_vs_Formula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</si>
</sst>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#,##0.0"/>
    <numFmt numFmtId="167" formatCode="0.0%"/>
  </numFmts>
  <fonts count="11">
    <font>
      <sz val="11"/>
      <color theme="1"/>
      <name val="Calibri"/>
      <family val="2"/>
      <charset val="1"/>
    </font>
    <font>
      <b/>
      <sz val="14"/>
      <color rgb="FF1F4E79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666666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</font>
    <font>
      <sz val="8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4"/>
      <color rgb="FFFFFFFF"/>
      <name val="-webkit-standard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164" fontId="5" fillId="2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6" fillId="3" borderId="0" xfId="0" applyFont="1" applyFill="1" applyAlignment="1">
      <alignment vertical="center" wrapText="1"/>
    </xf>
    <xf numFmtId="0" fontId="5" fillId="2" borderId="0" xfId="0" applyFont="1" applyFill="1"/>
    <xf numFmtId="166" fontId="5" fillId="2" borderId="0" xfId="0" applyNumberFormat="1" applyFont="1" applyFill="1"/>
    <xf numFmtId="4" fontId="5" fillId="2" borderId="0" xfId="0" applyNumberFormat="1" applyFont="1" applyFill="1"/>
    <xf numFmtId="167" fontId="5" fillId="2" borderId="0" xfId="0" applyNumberFormat="1" applyFont="1" applyFill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1" fillId="0" borderId="0" xfId="0" applyFont="1"/>
    <xf numFmtId="9" fontId="5" fillId="2" borderId="0" xfId="0" applyNumberFormat="1" applyFont="1" applyFill="1"/>
    <xf numFmtId="0" fontId="6" fillId="3" borderId="0" xfId="0" applyFont="1" applyFill="1"/>
    <xf numFmtId="0" fontId="7" fillId="2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4499323F-AB6B-0B40-AD50-BB368D583C57}" autoFormatId="16" applyNumberFormats="0" applyBorderFormats="0" applyFontFormats="0" applyPatternFormats="0" applyAlignmentFormats="0" applyWidthHeightFormats="0">
  <queryTableRefresh nextId="4">
    <queryTableFields count="3">
      <queryTableField id="1" name="Unit" tableColumnId="1"/>
      <queryTableField id="2" name="Type" tableColumnId="2"/>
      <queryTableField id="3" name="Factor_to_Bas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B06438A-A60D-1B4D-9EFF-4C74E4F84551}" autoFormatId="16" applyNumberFormats="0" applyBorderFormats="0" applyFontFormats="0" applyPatternFormats="0" applyAlignmentFormats="0" applyWidthHeightFormats="0">
  <queryTableRefresh nextId="28" unboundColumnsRight="1">
    <queryTableFields count="8">
      <queryTableField id="1" name="Company_ID" tableColumnId="1"/>
      <queryTableField id="2" name="Company" tableColumnId="2"/>
      <queryTableField id="3" name="Sector" tableColumnId="3"/>
      <queryTableField id="23" name="Total_MB_t" tableColumnId="23"/>
      <queryTableField id="24" name="Revenue_PLNm" tableColumnId="24"/>
      <queryTableField id="25" name="Intensity_PQ" tableColumnId="25"/>
      <queryTableField id="26" name="Energy_Intensity_PQ" tableColumnId="26"/>
      <queryTableField id="27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Units" displayName="Units" ref="A4:C19" totalsRowShown="0">
  <autoFilter ref="A4:C19" xr:uid="{00000000-0009-0000-0100-000002000000}"/>
  <tableColumns count="3">
    <tableColumn id="1" xr3:uid="{00000000-0010-0000-0000-000001000000}" name="Unit"/>
    <tableColumn id="2" xr3:uid="{00000000-0010-0000-0000-000002000000}" name="Type"/>
    <tableColumn id="3" xr3:uid="{00000000-0010-0000-0000-000003000000}" name="Factor_to_Ba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01879-1ED1-7F46-9E6E-5764BB164BBB}" name="Units1" displayName="Units1" ref="A1:C16" tableType="queryTable" totalsRowShown="0">
  <autoFilter ref="A1:C16" xr:uid="{C2E01879-1ED1-7F46-9E6E-5764BB164BBB}"/>
  <tableColumns count="3">
    <tableColumn id="1" xr3:uid="{353DE3E7-C167-874F-BB98-286C050EEE51}" uniqueName="1" name="Unit" queryTableFieldId="1" dataDxfId="2"/>
    <tableColumn id="2" xr3:uid="{87E61917-2920-EB48-85E6-E66B5634264D}" uniqueName="2" name="Type" queryTableFieldId="2" dataDxfId="1"/>
    <tableColumn id="3" xr3:uid="{B9F2F66A-E63B-BF49-8099-66CCA2261DF7}" uniqueName="3" name="Factor_to_Bas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02CD2-7C53-554A-92F6-93A9B30B7613}" name="GHG_Consolidated_PQ" displayName="GHG_Consolidated_PQ" ref="A1:H9" tableType="queryTable" totalsRowShown="0">
  <autoFilter ref="A1:H9" xr:uid="{D9F02CD2-7C53-554A-92F6-93A9B30B7613}"/>
  <tableColumns count="8">
    <tableColumn id="1" xr3:uid="{9C6FD982-D04D-8646-81E4-1AADCB8A51A2}" uniqueName="1" name="Company_ID" queryTableFieldId="1" dataDxfId="5"/>
    <tableColumn id="2" xr3:uid="{986496FD-9300-0E4A-9700-20F173E0A016}" uniqueName="2" name="Company" queryTableFieldId="2" dataDxfId="4"/>
    <tableColumn id="3" xr3:uid="{DC9135FD-58DF-DB46-B3A0-CD4ADBEB0B80}" uniqueName="3" name="Sector" queryTableFieldId="3" dataDxfId="3"/>
    <tableColumn id="23" xr3:uid="{A541FD27-8FA7-464E-A604-A420FF7074E6}" uniqueName="23" name="Total_MB_t" queryTableFieldId="23"/>
    <tableColumn id="24" xr3:uid="{08773D0A-1074-6B42-A52F-92CEA5A4BCB9}" uniqueName="24" name="Revenue_PLNm" queryTableFieldId="24"/>
    <tableColumn id="25" xr3:uid="{DCB3B1B6-7161-3C40-B2E0-C33C4694FC0C}" uniqueName="25" name="Intensity_PQ" queryTableFieldId="25"/>
    <tableColumn id="26" xr3:uid="{07D1C7FA-B83A-584B-8D57-F1BCDC3AC766}" uniqueName="26" name="Energy_Intensity_PQ" queryTableFieldId="26"/>
    <tableColumn id="4" xr3:uid="{36E45746-4878-0E4B-A75A-2B6E0FD52379}" uniqueName="4" name="Check_vs_Formula" queryTableFieldId="27" dataDxfId="0">
      <calculatedColumnFormula>ROUND(F2-_xlfn.XLOOKUP(A2,Calculations!A:A,Calculations!L:L),6)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put_Data" displayName="Input_Data" ref="A1:V13" totalsRowShown="0">
  <autoFilter ref="A1:V13" xr:uid="{00000000-0009-0000-0100-000001000000}"/>
  <tableColumns count="22">
    <tableColumn id="1" xr3:uid="{00000000-0010-0000-0100-000001000000}" name="Company_ID"/>
    <tableColumn id="2" xr3:uid="{00000000-0010-0000-0100-000002000000}" name="Company"/>
    <tableColumn id="3" xr3:uid="{00000000-0010-0000-0100-000003000000}" name="Sector"/>
    <tableColumn id="4" xr3:uid="{00000000-0010-0000-0100-000004000000}" name="Reporting_Period"/>
    <tableColumn id="5" xr3:uid="{00000000-0010-0000-0100-000005000000}" name="Scope1"/>
    <tableColumn id="6" xr3:uid="{00000000-0010-0000-0100-000006000000}" name="Scope2_LB"/>
    <tableColumn id="7" xr3:uid="{00000000-0010-0000-0100-000007000000}" name="Scope2_MB"/>
    <tableColumn id="8" xr3:uid="{00000000-0010-0000-0100-000008000000}" name="Scope3"/>
    <tableColumn id="9" xr3:uid="{00000000-0010-0000-0100-000009000000}" name="GHG_Unit"/>
    <tableColumn id="10" xr3:uid="{00000000-0010-0000-0100-00000A000000}" name="Net_Revenue"/>
    <tableColumn id="11" xr3:uid="{00000000-0010-0000-0100-00000B000000}" name="Revenue_Unit"/>
    <tableColumn id="12" xr3:uid="{00000000-0010-0000-0100-00000C000000}" name="Employees"/>
    <tableColumn id="13" xr3:uid="{00000000-0010-0000-0100-00000D000000}" name="Employee_Basis"/>
    <tableColumn id="14" xr3:uid="{00000000-0010-0000-0100-00000E000000}" name="Energy_Consumption"/>
    <tableColumn id="15" xr3:uid="{00000000-0010-0000-0100-00000F000000}" name="Energy_Unit"/>
    <tableColumn id="16" xr3:uid="{00000000-0010-0000-0100-000010000000}" name="Reported_GHG_Intensity_MB"/>
    <tableColumn id="17" xr3:uid="{00000000-0010-0000-0100-000011000000}" name="Intensity_Unit"/>
    <tableColumn id="18" xr3:uid="{00000000-0010-0000-0100-000012000000}" name="Taxonomy_Turnover_Aligned"/>
    <tableColumn id="19" xr3:uid="{00000000-0010-0000-0100-000013000000}" name="Taxonomy_CapEx_Aligned"/>
    <tableColumn id="20" xr3:uid="{00000000-0010-0000-0100-000014000000}" name="Taxonomy_OpEx_Aligned"/>
    <tableColumn id="21" xr3:uid="{00000000-0010-0000-0100-000015000000}" name="Source_Pages"/>
    <tableColumn id="22" xr3:uid="{00000000-0010-0000-0100-000016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zoomScaleNormal="100" workbookViewId="0"/>
  </sheetViews>
  <sheetFormatPr baseColWidth="10" defaultColWidth="8.6640625" defaultRowHeight="15"/>
  <cols>
    <col min="1" max="1" width="120" customWidth="1"/>
  </cols>
  <sheetData>
    <row r="1" spans="1:1" ht="17.25" customHeight="1">
      <c r="A1" s="1" t="s">
        <v>0</v>
      </c>
    </row>
    <row r="2" spans="1:1" ht="15" customHeight="1">
      <c r="A2" s="2"/>
    </row>
    <row r="3" spans="1:1" ht="15" customHeight="1">
      <c r="A3" s="3" t="s">
        <v>1</v>
      </c>
    </row>
    <row r="4" spans="1:1" ht="23.25" customHeight="1">
      <c r="A4" s="2" t="s">
        <v>2</v>
      </c>
    </row>
    <row r="5" spans="1:1" ht="15" customHeight="1">
      <c r="A5" s="2"/>
    </row>
    <row r="6" spans="1:1" ht="15" customHeight="1">
      <c r="A6" s="3" t="s">
        <v>3</v>
      </c>
    </row>
    <row r="7" spans="1:1" ht="15" customHeight="1">
      <c r="A7" s="2" t="s">
        <v>4</v>
      </c>
    </row>
    <row r="8" spans="1:1" ht="15" customHeight="1">
      <c r="A8" s="2" t="s">
        <v>5</v>
      </c>
    </row>
    <row r="9" spans="1:1" ht="15" customHeight="1">
      <c r="A9" s="2" t="s">
        <v>6</v>
      </c>
    </row>
    <row r="10" spans="1:1" ht="15" customHeight="1">
      <c r="A10" s="2" t="s">
        <v>7</v>
      </c>
    </row>
    <row r="11" spans="1:1" ht="15" customHeight="1">
      <c r="A11" s="2" t="s">
        <v>8</v>
      </c>
    </row>
    <row r="12" spans="1:1" ht="15" customHeight="1">
      <c r="A12" s="2" t="s">
        <v>9</v>
      </c>
    </row>
    <row r="13" spans="1:1" ht="15" customHeight="1">
      <c r="A13" s="2"/>
    </row>
    <row r="14" spans="1:1" ht="15" customHeight="1">
      <c r="A14" s="3" t="s">
        <v>10</v>
      </c>
    </row>
    <row r="15" spans="1:1" ht="15" customHeight="1">
      <c r="A15" s="2" t="s">
        <v>11</v>
      </c>
    </row>
    <row r="16" spans="1:1" ht="15" customHeight="1">
      <c r="A16" s="2" t="s">
        <v>12</v>
      </c>
    </row>
    <row r="17" spans="1:1" ht="15" customHeight="1">
      <c r="A17" s="2" t="s">
        <v>13</v>
      </c>
    </row>
    <row r="18" spans="1:1" ht="15" customHeight="1">
      <c r="A18" s="2" t="s">
        <v>14</v>
      </c>
    </row>
    <row r="19" spans="1:1" ht="15" customHeight="1">
      <c r="A19" s="2" t="s">
        <v>15</v>
      </c>
    </row>
    <row r="20" spans="1:1" ht="15" customHeight="1">
      <c r="A20" s="2" t="s">
        <v>16</v>
      </c>
    </row>
    <row r="21" spans="1:1" ht="15" customHeight="1">
      <c r="A21" s="2" t="s">
        <v>17</v>
      </c>
    </row>
    <row r="22" spans="1:1" ht="15" customHeight="1">
      <c r="A22" s="2"/>
    </row>
    <row r="23" spans="1:1" ht="15" customHeight="1">
      <c r="A23" s="3" t="s">
        <v>18</v>
      </c>
    </row>
    <row r="24" spans="1:1" ht="15" customHeight="1">
      <c r="A24" s="2" t="s">
        <v>19</v>
      </c>
    </row>
    <row r="25" spans="1:1" ht="15" customHeight="1">
      <c r="A25" s="2" t="s">
        <v>20</v>
      </c>
    </row>
    <row r="26" spans="1:1" ht="15" customHeight="1">
      <c r="A26" s="2" t="s">
        <v>21</v>
      </c>
    </row>
    <row r="27" spans="1:1" ht="15" customHeight="1">
      <c r="A27" s="4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workbookViewId="0"/>
  </sheetViews>
  <sheetFormatPr baseColWidth="10" defaultColWidth="8.6640625" defaultRowHeight="15"/>
  <cols>
    <col min="1" max="1" width="58" customWidth="1"/>
    <col min="2" max="2" width="12" customWidth="1"/>
    <col min="3" max="3" width="16" customWidth="1"/>
  </cols>
  <sheetData>
    <row r="1" spans="1:3" ht="15" customHeight="1">
      <c r="A1" s="5" t="s">
        <v>23</v>
      </c>
    </row>
    <row r="2" spans="1:3" ht="15" customHeight="1">
      <c r="A2" s="6" t="s">
        <v>24</v>
      </c>
      <c r="B2" s="7">
        <v>4.3</v>
      </c>
    </row>
    <row r="4" spans="1:3" ht="15" customHeight="1">
      <c r="A4" t="s">
        <v>25</v>
      </c>
      <c r="B4" t="s">
        <v>26</v>
      </c>
      <c r="C4" t="s">
        <v>27</v>
      </c>
    </row>
    <row r="5" spans="1:3" ht="15" customHeight="1">
      <c r="A5" s="6" t="s">
        <v>28</v>
      </c>
      <c r="B5" s="6" t="s">
        <v>29</v>
      </c>
      <c r="C5" s="8">
        <v>1</v>
      </c>
    </row>
    <row r="6" spans="1:3" ht="15" customHeight="1">
      <c r="A6" s="6" t="s">
        <v>30</v>
      </c>
      <c r="B6" s="6" t="s">
        <v>29</v>
      </c>
      <c r="C6" s="8">
        <v>1000</v>
      </c>
    </row>
    <row r="7" spans="1:3" ht="15" customHeight="1">
      <c r="A7" s="6" t="s">
        <v>31</v>
      </c>
      <c r="B7" s="6" t="s">
        <v>29</v>
      </c>
      <c r="C7" s="8">
        <v>1000000</v>
      </c>
    </row>
    <row r="8" spans="1:3" ht="15" customHeight="1">
      <c r="A8" s="6" t="s">
        <v>32</v>
      </c>
      <c r="B8" s="6" t="s">
        <v>33</v>
      </c>
      <c r="C8" s="8">
        <v>1E-3</v>
      </c>
    </row>
    <row r="9" spans="1:3" ht="15" customHeight="1">
      <c r="A9" s="6" t="s">
        <v>34</v>
      </c>
      <c r="B9" s="6" t="s">
        <v>33</v>
      </c>
      <c r="C9" s="8">
        <v>1</v>
      </c>
    </row>
    <row r="10" spans="1:3" ht="15" customHeight="1">
      <c r="A10" s="6" t="s">
        <v>35</v>
      </c>
      <c r="B10" s="6" t="s">
        <v>33</v>
      </c>
      <c r="C10" s="8">
        <f>$B$2/1000</f>
        <v>4.3E-3</v>
      </c>
    </row>
    <row r="11" spans="1:3" ht="15" customHeight="1">
      <c r="A11" s="6" t="s">
        <v>36</v>
      </c>
      <c r="B11" s="6" t="s">
        <v>33</v>
      </c>
      <c r="C11" s="8">
        <f>$B$2</f>
        <v>4.3</v>
      </c>
    </row>
    <row r="12" spans="1:3" ht="15" customHeight="1">
      <c r="A12" s="6" t="s">
        <v>37</v>
      </c>
      <c r="B12" s="6" t="s">
        <v>38</v>
      </c>
      <c r="C12" s="8">
        <v>1</v>
      </c>
    </row>
    <row r="13" spans="1:3" ht="15" customHeight="1">
      <c r="A13" s="6" t="s">
        <v>39</v>
      </c>
      <c r="B13" s="6" t="s">
        <v>38</v>
      </c>
      <c r="C13" s="8">
        <v>1000</v>
      </c>
    </row>
    <row r="14" spans="1:3" ht="15" customHeight="1">
      <c r="A14" s="6" t="s">
        <v>40</v>
      </c>
      <c r="B14" s="6" t="s">
        <v>38</v>
      </c>
      <c r="C14" s="8">
        <f>1/3.6</f>
        <v>0.27777777777777779</v>
      </c>
    </row>
    <row r="15" spans="1:3" ht="15" customHeight="1">
      <c r="A15" s="6" t="s">
        <v>41</v>
      </c>
      <c r="B15" s="6" t="s">
        <v>38</v>
      </c>
      <c r="C15" s="8">
        <f>1000/3.6</f>
        <v>277.77777777777777</v>
      </c>
    </row>
    <row r="16" spans="1:3" ht="15" customHeight="1">
      <c r="A16" s="6" t="s">
        <v>42</v>
      </c>
      <c r="B16" s="6" t="s">
        <v>43</v>
      </c>
      <c r="C16" s="8">
        <v>1</v>
      </c>
    </row>
    <row r="17" spans="1:3" ht="15" customHeight="1">
      <c r="A17" s="6" t="s">
        <v>44</v>
      </c>
      <c r="B17" s="6" t="s">
        <v>43</v>
      </c>
      <c r="C17" s="8">
        <v>1000</v>
      </c>
    </row>
    <row r="18" spans="1:3" ht="15" customHeight="1">
      <c r="A18" s="6" t="s">
        <v>45</v>
      </c>
      <c r="B18" s="6" t="s">
        <v>43</v>
      </c>
      <c r="C18" s="8">
        <f>1/$B$2</f>
        <v>0.23255813953488372</v>
      </c>
    </row>
    <row r="19" spans="1:3" ht="15" customHeight="1">
      <c r="A19" s="6" t="s">
        <v>46</v>
      </c>
      <c r="B19" s="6" t="s">
        <v>43</v>
      </c>
      <c r="C19" s="8">
        <f>1000/$B$2</f>
        <v>232.55813953488374</v>
      </c>
    </row>
    <row r="21" spans="1:3" ht="15" customHeight="1">
      <c r="A21" s="9" t="s">
        <v>47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2C49-1A8B-C446-87E2-6E23F768ABEC}">
  <dimension ref="A1:C16"/>
  <sheetViews>
    <sheetView workbookViewId="0">
      <selection activeCell="D41" sqref="D41"/>
    </sheetView>
  </sheetViews>
  <sheetFormatPr baseColWidth="10" defaultRowHeight="15"/>
  <cols>
    <col min="1" max="1" width="17.83203125" bestFit="1" customWidth="1"/>
    <col min="2" max="2" width="7.83203125" bestFit="1" customWidth="1"/>
    <col min="3" max="3" width="15.33203125" bestFit="1" customWidth="1"/>
  </cols>
  <sheetData>
    <row r="1" spans="1:3">
      <c r="A1" t="s">
        <v>25</v>
      </c>
      <c r="B1" t="s">
        <v>26</v>
      </c>
      <c r="C1" t="s">
        <v>27</v>
      </c>
    </row>
    <row r="2" spans="1:3">
      <c r="A2" t="s">
        <v>28</v>
      </c>
      <c r="B2" t="s">
        <v>29</v>
      </c>
      <c r="C2">
        <v>1</v>
      </c>
    </row>
    <row r="3" spans="1:3">
      <c r="A3" t="s">
        <v>30</v>
      </c>
      <c r="B3" t="s">
        <v>29</v>
      </c>
      <c r="C3">
        <v>1000</v>
      </c>
    </row>
    <row r="4" spans="1:3">
      <c r="A4" t="s">
        <v>31</v>
      </c>
      <c r="B4" t="s">
        <v>29</v>
      </c>
      <c r="C4">
        <v>1000000</v>
      </c>
    </row>
    <row r="5" spans="1:3">
      <c r="A5" t="s">
        <v>32</v>
      </c>
      <c r="B5" t="s">
        <v>33</v>
      </c>
      <c r="C5">
        <v>1E-3</v>
      </c>
    </row>
    <row r="6" spans="1:3">
      <c r="A6" t="s">
        <v>34</v>
      </c>
      <c r="B6" t="s">
        <v>33</v>
      </c>
      <c r="C6">
        <v>1</v>
      </c>
    </row>
    <row r="7" spans="1:3">
      <c r="A7" t="s">
        <v>35</v>
      </c>
      <c r="B7" t="s">
        <v>33</v>
      </c>
      <c r="C7">
        <v>4.3E-3</v>
      </c>
    </row>
    <row r="8" spans="1:3">
      <c r="A8" t="s">
        <v>36</v>
      </c>
      <c r="B8" t="s">
        <v>33</v>
      </c>
      <c r="C8">
        <v>4.3</v>
      </c>
    </row>
    <row r="9" spans="1:3">
      <c r="A9" t="s">
        <v>37</v>
      </c>
      <c r="B9" t="s">
        <v>38</v>
      </c>
      <c r="C9">
        <v>1</v>
      </c>
    </row>
    <row r="10" spans="1:3">
      <c r="A10" t="s">
        <v>39</v>
      </c>
      <c r="B10" t="s">
        <v>38</v>
      </c>
      <c r="C10">
        <v>1000</v>
      </c>
    </row>
    <row r="11" spans="1:3">
      <c r="A11" t="s">
        <v>40</v>
      </c>
      <c r="B11" t="s">
        <v>38</v>
      </c>
      <c r="C11">
        <v>0.27777777777777801</v>
      </c>
    </row>
    <row r="12" spans="1:3">
      <c r="A12" t="s">
        <v>41</v>
      </c>
      <c r="B12" t="s">
        <v>38</v>
      </c>
      <c r="C12">
        <v>277.777777777778</v>
      </c>
    </row>
    <row r="13" spans="1:3">
      <c r="A13" t="s">
        <v>42</v>
      </c>
      <c r="B13" t="s">
        <v>43</v>
      </c>
      <c r="C13">
        <v>1</v>
      </c>
    </row>
    <row r="14" spans="1:3">
      <c r="A14" t="s">
        <v>44</v>
      </c>
      <c r="B14" t="s">
        <v>43</v>
      </c>
      <c r="C14">
        <v>1000</v>
      </c>
    </row>
    <row r="15" spans="1:3">
      <c r="A15" t="s">
        <v>45</v>
      </c>
      <c r="B15" t="s">
        <v>43</v>
      </c>
      <c r="C15">
        <v>0.232558139534884</v>
      </c>
    </row>
    <row r="16" spans="1:3">
      <c r="A16" t="s">
        <v>46</v>
      </c>
      <c r="B16" t="s">
        <v>43</v>
      </c>
      <c r="C16">
        <v>232.55813953488399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93B9-7D25-D540-97EB-94F5DF7DB777}">
  <dimension ref="A1:H9"/>
  <sheetViews>
    <sheetView tabSelected="1" workbookViewId="0">
      <selection activeCell="H9" sqref="H9"/>
    </sheetView>
  </sheetViews>
  <sheetFormatPr baseColWidth="10" defaultRowHeight="15"/>
  <cols>
    <col min="1" max="1" width="13.33203125" bestFit="1" customWidth="1"/>
    <col min="2" max="2" width="24.83203125" bestFit="1" customWidth="1"/>
    <col min="3" max="3" width="20.1640625" bestFit="1" customWidth="1"/>
    <col min="4" max="4" width="12.5" bestFit="1" customWidth="1"/>
    <col min="5" max="5" width="15.83203125" bestFit="1" customWidth="1"/>
    <col min="6" max="6" width="13.6640625" bestFit="1" customWidth="1"/>
    <col min="7" max="7" width="19.83203125" bestFit="1" customWidth="1"/>
    <col min="8" max="8" width="17.33203125" bestFit="1" customWidth="1"/>
    <col min="9" max="9" width="9.33203125" bestFit="1" customWidth="1"/>
    <col min="10" max="10" width="12" bestFit="1" customWidth="1"/>
    <col min="11" max="11" width="12.83203125" bestFit="1" customWidth="1"/>
    <col min="12" max="12" width="9.33203125" bestFit="1" customWidth="1"/>
    <col min="13" max="13" width="11.33203125" bestFit="1" customWidth="1"/>
    <col min="14" max="14" width="14.1640625" bestFit="1" customWidth="1"/>
    <col min="15" max="15" width="14.6640625" bestFit="1" customWidth="1"/>
    <col min="16" max="16" width="12" bestFit="1" customWidth="1"/>
    <col min="17" max="17" width="15.83203125" bestFit="1" customWidth="1"/>
    <col min="18" max="18" width="20.1640625" bestFit="1" customWidth="1"/>
    <col min="19" max="19" width="13" bestFit="1" customWidth="1"/>
    <col min="20" max="20" width="26.83203125" bestFit="1" customWidth="1"/>
    <col min="21" max="21" width="16" bestFit="1" customWidth="1"/>
    <col min="22" max="22" width="26.5" bestFit="1" customWidth="1"/>
    <col min="23" max="23" width="24" bestFit="1" customWidth="1"/>
    <col min="24" max="24" width="23.1640625" bestFit="1" customWidth="1"/>
    <col min="25" max="26" width="80.6640625" bestFit="1" customWidth="1"/>
  </cols>
  <sheetData>
    <row r="1" spans="1:8">
      <c r="A1" t="s">
        <v>48</v>
      </c>
      <c r="B1" t="s">
        <v>49</v>
      </c>
      <c r="C1" t="s">
        <v>50</v>
      </c>
      <c r="D1" t="s">
        <v>247</v>
      </c>
      <c r="E1" t="s">
        <v>116</v>
      </c>
      <c r="F1" t="s">
        <v>248</v>
      </c>
      <c r="G1" t="s">
        <v>249</v>
      </c>
      <c r="H1" s="22" t="s">
        <v>250</v>
      </c>
    </row>
    <row r="2" spans="1:8" ht="18">
      <c r="A2" t="s">
        <v>70</v>
      </c>
      <c r="B2" t="s">
        <v>71</v>
      </c>
      <c r="C2" t="s">
        <v>72</v>
      </c>
      <c r="D2">
        <v>77405240</v>
      </c>
      <c r="E2">
        <v>61434</v>
      </c>
      <c r="F2">
        <v>1259.9739557899534</v>
      </c>
      <c r="G2">
        <v>2433.4048084122796</v>
      </c>
      <c r="H2" s="23">
        <f>ROUND(F2-_xlfn.XLOOKUP(A2,Calculations!A:A,Calculations!L:L),6)</f>
        <v>0</v>
      </c>
    </row>
    <row r="3" spans="1:8">
      <c r="A3" t="s">
        <v>77</v>
      </c>
      <c r="B3" t="s">
        <v>78</v>
      </c>
      <c r="C3" t="s">
        <v>72</v>
      </c>
      <c r="D3">
        <v>26848613</v>
      </c>
      <c r="E3">
        <v>33277</v>
      </c>
      <c r="F3">
        <v>806.82191904318302</v>
      </c>
      <c r="G3">
        <v>939.21041560236802</v>
      </c>
      <c r="H3">
        <f>ROUND(F3-_xlfn.XLOOKUP(A3,Calculations!A:A,Calculations!L:L),6)</f>
        <v>0</v>
      </c>
    </row>
    <row r="4" spans="1:8">
      <c r="A4" t="s">
        <v>86</v>
      </c>
      <c r="B4" t="s">
        <v>87</v>
      </c>
      <c r="C4" t="s">
        <v>88</v>
      </c>
      <c r="D4">
        <v>1340613</v>
      </c>
      <c r="E4">
        <v>5494.6</v>
      </c>
      <c r="F4">
        <v>243.98736941724601</v>
      </c>
      <c r="G4">
        <v>75.963899100935464</v>
      </c>
      <c r="H4">
        <f>ROUND(F4-_xlfn.XLOOKUP(A4,Calculations!A:A,Calculations!L:L),6)</f>
        <v>0</v>
      </c>
    </row>
    <row r="5" spans="1:8">
      <c r="A5" t="s">
        <v>96</v>
      </c>
      <c r="B5" t="s">
        <v>97</v>
      </c>
      <c r="C5" t="s">
        <v>93</v>
      </c>
      <c r="D5">
        <v>7323236</v>
      </c>
      <c r="E5">
        <v>33634.154999999999</v>
      </c>
      <c r="F5">
        <v>217.73212378904719</v>
      </c>
      <c r="G5">
        <v>12.153568299842824</v>
      </c>
      <c r="H5">
        <f>ROUND(F5-_xlfn.XLOOKUP(A5,Calculations!A:A,Calculations!L:L),6)</f>
        <v>0</v>
      </c>
    </row>
    <row r="6" spans="1:8">
      <c r="A6" t="s">
        <v>81</v>
      </c>
      <c r="B6" t="s">
        <v>82</v>
      </c>
      <c r="C6" t="s">
        <v>83</v>
      </c>
      <c r="D6">
        <v>6701474</v>
      </c>
      <c r="E6">
        <v>36342.35</v>
      </c>
      <c r="F6">
        <v>184.39847725862526</v>
      </c>
      <c r="G6">
        <v>220.1930530084048</v>
      </c>
      <c r="H6">
        <f>ROUND(F6-_xlfn.XLOOKUP(A6,Calculations!A:A,Calculations!L:L),6)</f>
        <v>0</v>
      </c>
    </row>
    <row r="7" spans="1:8">
      <c r="A7" t="s">
        <v>91</v>
      </c>
      <c r="B7" t="s">
        <v>92</v>
      </c>
      <c r="C7" t="s">
        <v>93</v>
      </c>
      <c r="D7">
        <v>3419668</v>
      </c>
      <c r="E7">
        <v>27153</v>
      </c>
      <c r="F7">
        <v>125.94070636762052</v>
      </c>
      <c r="G7">
        <v>5.0656649357345414</v>
      </c>
      <c r="H7">
        <f>ROUND(F7-_xlfn.XLOOKUP(A7,Calculations!A:A,Calculations!L:L),6)</f>
        <v>0</v>
      </c>
    </row>
    <row r="8" spans="1:8">
      <c r="A8" t="s">
        <v>100</v>
      </c>
      <c r="B8" t="s">
        <v>101</v>
      </c>
      <c r="C8" t="s">
        <v>102</v>
      </c>
      <c r="D8">
        <v>522050</v>
      </c>
      <c r="E8">
        <v>13133</v>
      </c>
      <c r="F8">
        <v>39.751008908855553</v>
      </c>
      <c r="G8">
        <v>41.707759080179699</v>
      </c>
      <c r="H8">
        <f>ROUND(F8-_xlfn.XLOOKUP(A8,Calculations!A:A,Calculations!L:L),6)</f>
        <v>0</v>
      </c>
    </row>
    <row r="9" spans="1:8">
      <c r="A9" t="s">
        <v>105</v>
      </c>
      <c r="B9" t="s">
        <v>106</v>
      </c>
      <c r="C9" t="s">
        <v>107</v>
      </c>
      <c r="D9">
        <v>425372</v>
      </c>
      <c r="E9">
        <v>11885.8</v>
      </c>
      <c r="F9">
        <v>35.788251527032259</v>
      </c>
      <c r="G9">
        <v>3.6684951791213045</v>
      </c>
      <c r="H9">
        <f>ROUND(F9-_xlfn.XLOOKUP(A9,Calculations!A:A,Calculations!L:L),6)</f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zoomScale="138" zoomScaleNormal="13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baseColWidth="10" defaultColWidth="8.6640625" defaultRowHeight="15"/>
  <cols>
    <col min="1" max="1" width="11" customWidth="1"/>
    <col min="2" max="2" width="34" customWidth="1"/>
    <col min="3" max="3" width="22" customWidth="1"/>
    <col min="4" max="4" width="18" customWidth="1"/>
    <col min="5" max="7" width="12" customWidth="1"/>
    <col min="8" max="8" width="13" customWidth="1"/>
    <col min="9" max="9" width="12" customWidth="1"/>
    <col min="10" max="10" width="13" customWidth="1"/>
    <col min="11" max="11" width="15" customWidth="1"/>
    <col min="12" max="12" width="11" customWidth="1"/>
    <col min="13" max="13" width="14" customWidth="1"/>
    <col min="14" max="14" width="13" customWidth="1"/>
    <col min="15" max="15" width="11" customWidth="1"/>
    <col min="16" max="16" width="14" customWidth="1"/>
    <col min="17" max="17" width="22" customWidth="1"/>
    <col min="18" max="20" width="12" customWidth="1"/>
    <col min="21" max="22" width="30" customWidth="1"/>
  </cols>
  <sheetData>
    <row r="1" spans="1:22" ht="42" customHeight="1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10" t="s">
        <v>65</v>
      </c>
      <c r="S1" s="10" t="s">
        <v>66</v>
      </c>
      <c r="T1" s="10" t="s">
        <v>67</v>
      </c>
      <c r="U1" s="10" t="s">
        <v>68</v>
      </c>
      <c r="V1" s="10" t="s">
        <v>69</v>
      </c>
    </row>
    <row r="2" spans="1:22" ht="15" customHeight="1">
      <c r="A2" s="11"/>
      <c r="B2" s="11"/>
      <c r="C2" s="11"/>
      <c r="D2" s="11"/>
      <c r="E2" s="12"/>
      <c r="F2" s="12"/>
      <c r="G2" s="12"/>
      <c r="H2" s="12"/>
      <c r="I2" s="11"/>
      <c r="J2" s="12"/>
      <c r="K2" s="11"/>
      <c r="L2" s="12"/>
      <c r="M2" s="11"/>
      <c r="N2" s="12"/>
      <c r="O2" s="11"/>
      <c r="P2" s="13"/>
      <c r="Q2" s="11"/>
      <c r="R2" s="14"/>
      <c r="S2" s="14"/>
      <c r="T2" s="14"/>
      <c r="U2" s="11"/>
      <c r="V2" s="11"/>
    </row>
    <row r="3" spans="1:22" ht="15" customHeight="1">
      <c r="A3" s="11" t="s">
        <v>70</v>
      </c>
      <c r="B3" s="11" t="s">
        <v>71</v>
      </c>
      <c r="C3" s="11" t="s">
        <v>72</v>
      </c>
      <c r="D3" s="11" t="s">
        <v>73</v>
      </c>
      <c r="E3" s="12">
        <v>52200270</v>
      </c>
      <c r="F3" s="12">
        <v>1297281</v>
      </c>
      <c r="G3" s="12">
        <v>1297281</v>
      </c>
      <c r="H3" s="12">
        <v>23907689</v>
      </c>
      <c r="I3" s="11" t="s">
        <v>28</v>
      </c>
      <c r="J3" s="12">
        <v>61434</v>
      </c>
      <c r="K3" s="11" t="s">
        <v>34</v>
      </c>
      <c r="L3" s="12">
        <v>41690</v>
      </c>
      <c r="M3" s="11" t="s">
        <v>74</v>
      </c>
      <c r="N3" s="12">
        <v>149493791</v>
      </c>
      <c r="O3" s="11" t="s">
        <v>37</v>
      </c>
      <c r="P3" s="13">
        <v>1300</v>
      </c>
      <c r="Q3" s="11" t="s">
        <v>42</v>
      </c>
      <c r="R3" s="14">
        <v>0.246</v>
      </c>
      <c r="S3" s="14">
        <v>0.42899999999999999</v>
      </c>
      <c r="T3" s="14">
        <v>0.41199999999999998</v>
      </c>
      <c r="U3" s="11" t="s">
        <v>75</v>
      </c>
      <c r="V3" s="11" t="s">
        <v>76</v>
      </c>
    </row>
    <row r="4" spans="1:22" ht="15" customHeight="1">
      <c r="A4" s="11" t="s">
        <v>77</v>
      </c>
      <c r="B4" s="11" t="s">
        <v>78</v>
      </c>
      <c r="C4" s="11" t="s">
        <v>72</v>
      </c>
      <c r="D4" s="11" t="s">
        <v>73</v>
      </c>
      <c r="E4" s="12">
        <v>9825368</v>
      </c>
      <c r="F4" s="12">
        <v>1118942</v>
      </c>
      <c r="G4" s="12">
        <v>962262</v>
      </c>
      <c r="H4" s="12">
        <v>16060983</v>
      </c>
      <c r="I4" s="11" t="s">
        <v>28</v>
      </c>
      <c r="J4" s="12">
        <v>33277</v>
      </c>
      <c r="K4" s="11" t="s">
        <v>34</v>
      </c>
      <c r="L4" s="12">
        <v>19267</v>
      </c>
      <c r="M4" s="11" t="s">
        <v>74</v>
      </c>
      <c r="N4" s="12">
        <v>31254105</v>
      </c>
      <c r="O4" s="11" t="s">
        <v>37</v>
      </c>
      <c r="P4" s="13">
        <v>807</v>
      </c>
      <c r="Q4" s="11" t="s">
        <v>42</v>
      </c>
      <c r="R4" s="14">
        <v>0.38800000000000001</v>
      </c>
      <c r="S4" s="14">
        <v>0.84499999999999997</v>
      </c>
      <c r="T4" s="14">
        <v>0.74199999999999999</v>
      </c>
      <c r="U4" s="11" t="s">
        <v>79</v>
      </c>
      <c r="V4" s="11" t="s">
        <v>80</v>
      </c>
    </row>
    <row r="5" spans="1:22" ht="15" customHeight="1">
      <c r="A5" s="11" t="s">
        <v>81</v>
      </c>
      <c r="B5" s="11" t="s">
        <v>82</v>
      </c>
      <c r="C5" s="11" t="s">
        <v>83</v>
      </c>
      <c r="D5" s="11" t="s">
        <v>73</v>
      </c>
      <c r="E5" s="12">
        <v>2068510</v>
      </c>
      <c r="F5" s="12">
        <v>1554657</v>
      </c>
      <c r="G5" s="12">
        <v>2105896</v>
      </c>
      <c r="H5" s="12">
        <v>2527068</v>
      </c>
      <c r="I5" s="11" t="s">
        <v>28</v>
      </c>
      <c r="J5" s="12">
        <v>36342.35</v>
      </c>
      <c r="K5" s="11" t="s">
        <v>34</v>
      </c>
      <c r="L5" s="12">
        <v>34477</v>
      </c>
      <c r="M5" s="11" t="s">
        <v>74</v>
      </c>
      <c r="N5" s="12">
        <v>8002333</v>
      </c>
      <c r="O5" s="11" t="s">
        <v>37</v>
      </c>
      <c r="P5" s="13">
        <v>184.398</v>
      </c>
      <c r="Q5" s="11" t="s">
        <v>42</v>
      </c>
      <c r="R5" s="14">
        <v>0</v>
      </c>
      <c r="S5" s="14">
        <v>0</v>
      </c>
      <c r="T5" s="14">
        <v>0</v>
      </c>
      <c r="U5" s="11" t="s">
        <v>84</v>
      </c>
      <c r="V5" s="11" t="s">
        <v>85</v>
      </c>
    </row>
    <row r="6" spans="1:22" ht="15" customHeight="1">
      <c r="A6" s="11" t="s">
        <v>86</v>
      </c>
      <c r="B6" s="11" t="s">
        <v>87</v>
      </c>
      <c r="C6" s="11" t="s">
        <v>88</v>
      </c>
      <c r="D6" s="11" t="s">
        <v>73</v>
      </c>
      <c r="E6" s="12">
        <v>41938</v>
      </c>
      <c r="F6" s="12">
        <v>112196</v>
      </c>
      <c r="G6" s="12">
        <v>118957</v>
      </c>
      <c r="H6" s="12">
        <v>1179718</v>
      </c>
      <c r="I6" s="11" t="s">
        <v>28</v>
      </c>
      <c r="J6" s="12">
        <v>5494.6</v>
      </c>
      <c r="K6" s="11" t="s">
        <v>34</v>
      </c>
      <c r="L6" s="12">
        <v>6240</v>
      </c>
      <c r="M6" s="11" t="s">
        <v>74</v>
      </c>
      <c r="N6" s="12">
        <v>417391.24</v>
      </c>
      <c r="O6" s="11" t="s">
        <v>37</v>
      </c>
      <c r="P6" s="13"/>
      <c r="Q6" s="11"/>
      <c r="R6" s="14">
        <v>0.255</v>
      </c>
      <c r="S6" s="14">
        <v>8.5999999999999993E-2</v>
      </c>
      <c r="T6" s="14">
        <v>0.38</v>
      </c>
      <c r="U6" s="11" t="s">
        <v>89</v>
      </c>
      <c r="V6" s="11" t="s">
        <v>90</v>
      </c>
    </row>
    <row r="7" spans="1:22" ht="15" customHeight="1">
      <c r="A7" s="11" t="s">
        <v>91</v>
      </c>
      <c r="B7" s="11" t="s">
        <v>92</v>
      </c>
      <c r="C7" s="11" t="s">
        <v>93</v>
      </c>
      <c r="D7" s="11" t="s">
        <v>73</v>
      </c>
      <c r="E7" s="12">
        <v>25082</v>
      </c>
      <c r="F7" s="12">
        <v>24890</v>
      </c>
      <c r="G7" s="12">
        <v>7478</v>
      </c>
      <c r="H7" s="12">
        <v>3387108</v>
      </c>
      <c r="I7" s="11" t="s">
        <v>28</v>
      </c>
      <c r="J7" s="12">
        <v>27153</v>
      </c>
      <c r="K7" s="11" t="s">
        <v>34</v>
      </c>
      <c r="L7" s="12">
        <v>4257</v>
      </c>
      <c r="M7" s="11" t="s">
        <v>74</v>
      </c>
      <c r="N7" s="12">
        <v>137548</v>
      </c>
      <c r="O7" s="11" t="s">
        <v>37</v>
      </c>
      <c r="P7" s="13">
        <v>125.9</v>
      </c>
      <c r="Q7" s="11" t="s">
        <v>42</v>
      </c>
      <c r="R7" s="14">
        <v>0</v>
      </c>
      <c r="S7" s="14">
        <v>8.2000000000000003E-2</v>
      </c>
      <c r="T7" s="14">
        <v>0</v>
      </c>
      <c r="U7" s="11" t="s">
        <v>94</v>
      </c>
      <c r="V7" s="11" t="s">
        <v>95</v>
      </c>
    </row>
    <row r="8" spans="1:22" ht="15" customHeight="1">
      <c r="A8" s="11" t="s">
        <v>96</v>
      </c>
      <c r="B8" s="11" t="s">
        <v>97</v>
      </c>
      <c r="C8" s="11" t="s">
        <v>93</v>
      </c>
      <c r="D8" s="11" t="s">
        <v>73</v>
      </c>
      <c r="E8" s="12">
        <v>41804</v>
      </c>
      <c r="F8" s="12">
        <v>135019</v>
      </c>
      <c r="G8" s="12">
        <v>207858</v>
      </c>
      <c r="H8" s="12">
        <v>7073574</v>
      </c>
      <c r="I8" s="11" t="s">
        <v>28</v>
      </c>
      <c r="J8" s="12">
        <v>33634155</v>
      </c>
      <c r="K8" s="11" t="s">
        <v>32</v>
      </c>
      <c r="L8" s="12">
        <v>55856</v>
      </c>
      <c r="M8" s="11" t="s">
        <v>74</v>
      </c>
      <c r="N8" s="12">
        <v>408775</v>
      </c>
      <c r="O8" s="11" t="s">
        <v>37</v>
      </c>
      <c r="P8" s="13">
        <v>217.7</v>
      </c>
      <c r="Q8" s="11" t="s">
        <v>42</v>
      </c>
      <c r="R8" s="14">
        <v>0</v>
      </c>
      <c r="S8" s="14">
        <v>0</v>
      </c>
      <c r="T8" s="14">
        <v>0</v>
      </c>
      <c r="U8" s="11" t="s">
        <v>98</v>
      </c>
      <c r="V8" s="11" t="s">
        <v>99</v>
      </c>
    </row>
    <row r="9" spans="1:22" ht="15" customHeight="1">
      <c r="A9" s="11" t="s">
        <v>100</v>
      </c>
      <c r="B9" s="11" t="s">
        <v>101</v>
      </c>
      <c r="C9" s="11" t="s">
        <v>102</v>
      </c>
      <c r="D9" s="11" t="s">
        <v>73</v>
      </c>
      <c r="E9" s="12">
        <v>21538</v>
      </c>
      <c r="F9" s="12">
        <v>272838</v>
      </c>
      <c r="G9" s="12">
        <v>7354</v>
      </c>
      <c r="H9" s="12">
        <v>493158</v>
      </c>
      <c r="I9" s="11" t="s">
        <v>28</v>
      </c>
      <c r="J9" s="12">
        <v>13133</v>
      </c>
      <c r="K9" s="11" t="s">
        <v>34</v>
      </c>
      <c r="L9" s="12">
        <v>8172</v>
      </c>
      <c r="M9" s="11" t="s">
        <v>74</v>
      </c>
      <c r="N9" s="12">
        <v>547748</v>
      </c>
      <c r="O9" s="11" t="s">
        <v>37</v>
      </c>
      <c r="P9" s="13">
        <v>40</v>
      </c>
      <c r="Q9" s="11" t="s">
        <v>42</v>
      </c>
      <c r="R9" s="14">
        <v>0</v>
      </c>
      <c r="S9" s="14">
        <v>0</v>
      </c>
      <c r="T9" s="14">
        <v>0</v>
      </c>
      <c r="U9" s="11" t="s">
        <v>103</v>
      </c>
      <c r="V9" s="11" t="s">
        <v>104</v>
      </c>
    </row>
    <row r="10" spans="1:22" ht="15" customHeight="1">
      <c r="A10" s="11" t="s">
        <v>105</v>
      </c>
      <c r="B10" s="11" t="s">
        <v>106</v>
      </c>
      <c r="C10" s="11" t="s">
        <v>107</v>
      </c>
      <c r="D10" s="11" t="s">
        <v>73</v>
      </c>
      <c r="E10" s="12">
        <v>1803</v>
      </c>
      <c r="F10" s="12">
        <v>17739</v>
      </c>
      <c r="G10" s="12">
        <v>4017</v>
      </c>
      <c r="H10" s="12">
        <v>419552</v>
      </c>
      <c r="I10" s="11" t="s">
        <v>28</v>
      </c>
      <c r="J10" s="12">
        <v>11885.8</v>
      </c>
      <c r="K10" s="11" t="s">
        <v>34</v>
      </c>
      <c r="L10" s="12">
        <v>6090</v>
      </c>
      <c r="M10" s="11" t="s">
        <v>74</v>
      </c>
      <c r="N10" s="12">
        <v>43603</v>
      </c>
      <c r="O10" s="11" t="s">
        <v>37</v>
      </c>
      <c r="P10" s="13">
        <v>35.1</v>
      </c>
      <c r="Q10" s="11" t="s">
        <v>42</v>
      </c>
      <c r="R10" s="14">
        <v>1.0000000000000001E-5</v>
      </c>
      <c r="S10" s="14">
        <v>0.33900000000000002</v>
      </c>
      <c r="T10" s="14">
        <v>0.40400000000000003</v>
      </c>
      <c r="U10" s="11" t="s">
        <v>108</v>
      </c>
      <c r="V10" s="11" t="s">
        <v>109</v>
      </c>
    </row>
    <row r="11" spans="1:22" ht="15" customHeight="1">
      <c r="A11" s="11"/>
      <c r="B11" s="11"/>
      <c r="C11" s="11"/>
      <c r="D11" s="11"/>
      <c r="E11" s="12"/>
      <c r="F11" s="12"/>
      <c r="G11" s="12"/>
      <c r="H11" s="12"/>
      <c r="I11" s="11"/>
      <c r="J11" s="12"/>
      <c r="K11" s="11"/>
      <c r="L11" s="12"/>
      <c r="M11" s="11"/>
      <c r="N11" s="12"/>
      <c r="O11" s="11"/>
      <c r="P11" s="13"/>
      <c r="Q11" s="11"/>
      <c r="R11" s="14"/>
      <c r="S11" s="14"/>
      <c r="T11" s="14"/>
      <c r="U11" s="11"/>
      <c r="V11" s="11"/>
    </row>
    <row r="12" spans="1:22" ht="15" customHeight="1">
      <c r="A12" s="11"/>
      <c r="B12" s="11"/>
      <c r="C12" s="11"/>
      <c r="D12" s="11"/>
      <c r="E12" s="12"/>
      <c r="F12" s="12"/>
      <c r="G12" s="12"/>
      <c r="H12" s="12"/>
      <c r="I12" s="11"/>
      <c r="J12" s="12"/>
      <c r="K12" s="11"/>
      <c r="L12" s="12"/>
      <c r="M12" s="11"/>
      <c r="N12" s="12"/>
      <c r="O12" s="11"/>
      <c r="P12" s="13"/>
      <c r="Q12" s="11"/>
      <c r="R12" s="14"/>
      <c r="S12" s="14"/>
      <c r="T12" s="14"/>
      <c r="U12" s="11"/>
      <c r="V12" s="11"/>
    </row>
    <row r="13" spans="1:22" ht="15" customHeight="1">
      <c r="A13" s="11"/>
      <c r="B13" s="11"/>
      <c r="C13" s="11"/>
      <c r="D13" s="11"/>
      <c r="E13" s="12"/>
      <c r="F13" s="12"/>
      <c r="G13" s="12"/>
      <c r="H13" s="12"/>
      <c r="I13" s="11"/>
      <c r="J13" s="12"/>
      <c r="K13" s="11"/>
      <c r="L13" s="12"/>
      <c r="M13" s="11"/>
      <c r="N13" s="12"/>
      <c r="O13" s="11"/>
      <c r="P13" s="13"/>
      <c r="Q13" s="11"/>
      <c r="R13" s="14"/>
      <c r="S13" s="14"/>
      <c r="T13" s="14"/>
      <c r="U13" s="11"/>
      <c r="V13" s="11"/>
    </row>
  </sheetData>
  <dataValidations count="5">
    <dataValidation type="list" allowBlank="1" sqref="I2:I13" xr:uid="{00000000-0002-0000-0200-000000000000}">
      <formula1>"tCO2e,ktCO2e,MtCO2e"</formula1>
      <formula2>0</formula2>
    </dataValidation>
    <dataValidation type="list" allowBlank="1" sqref="K2:K13" xr:uid="{00000000-0002-0000-0200-000001000000}">
      <formula1>"PLN thousand,PLN million,EUR thousand,EUR million"</formula1>
      <formula2>0</formula2>
    </dataValidation>
    <dataValidation type="list" allowBlank="1" sqref="M2:M13" xr:uid="{00000000-0002-0000-0200-000002000000}">
      <formula1>"Headcount,FTE"</formula1>
      <formula2>0</formula2>
    </dataValidation>
    <dataValidation type="list" allowBlank="1" sqref="O2:O13" xr:uid="{00000000-0002-0000-0200-000003000000}">
      <formula1>"MWh,GWh,GJ,TJ"</formula1>
      <formula2>0</formula2>
    </dataValidation>
    <dataValidation type="list" allowBlank="1" sqref="Q2:Q13" xr:uid="{00000000-0002-0000-0200-000004000000}">
      <formula1>"tCO2e / PLN million,tCO2e / PLN thousand,tCO2e / EUR million,tCO2e / EUR thousand"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/>
  <cols>
    <col min="1" max="1" width="11" customWidth="1"/>
    <col min="2" max="2" width="34" customWidth="1"/>
    <col min="3" max="3" width="22" customWidth="1"/>
    <col min="4" max="21" width="13" customWidth="1"/>
  </cols>
  <sheetData>
    <row r="1" spans="1:21" ht="42" customHeight="1">
      <c r="A1" s="10" t="s">
        <v>48</v>
      </c>
      <c r="B1" s="10" t="s">
        <v>49</v>
      </c>
      <c r="C1" s="10" t="s">
        <v>50</v>
      </c>
      <c r="D1" s="10" t="s">
        <v>110</v>
      </c>
      <c r="E1" s="10" t="s">
        <v>111</v>
      </c>
      <c r="F1" s="10" t="s">
        <v>112</v>
      </c>
      <c r="G1" s="10" t="s">
        <v>113</v>
      </c>
      <c r="H1" s="10" t="s">
        <v>114</v>
      </c>
      <c r="I1" s="10" t="s">
        <v>115</v>
      </c>
      <c r="J1" s="10" t="s">
        <v>116</v>
      </c>
      <c r="K1" s="10" t="s">
        <v>117</v>
      </c>
      <c r="L1" s="10" t="s">
        <v>118</v>
      </c>
      <c r="M1" s="10" t="s">
        <v>119</v>
      </c>
      <c r="N1" s="10" t="s">
        <v>120</v>
      </c>
      <c r="O1" s="10" t="s">
        <v>121</v>
      </c>
      <c r="P1" s="10" t="s">
        <v>122</v>
      </c>
      <c r="Q1" s="10" t="s">
        <v>123</v>
      </c>
      <c r="R1" s="10" t="s">
        <v>124</v>
      </c>
      <c r="S1" s="10" t="s">
        <v>125</v>
      </c>
      <c r="T1" s="10" t="s">
        <v>126</v>
      </c>
      <c r="U1" s="10" t="s">
        <v>127</v>
      </c>
    </row>
    <row r="2" spans="1:21" ht="15" customHeight="1">
      <c r="A2" s="15" t="str">
        <f>IF(Input_Data!A2="","",Input_Data!A2)</f>
        <v/>
      </c>
      <c r="B2" s="15" t="str">
        <f>IF(Input_Data!B2="","",Input_Data!B2)</f>
        <v/>
      </c>
      <c r="C2" s="15" t="str">
        <f>IF(Input_Data!C2="","",Input_Data!C2)</f>
        <v/>
      </c>
      <c r="D2" s="15" t="str">
        <f>IF(OR(Input_Data!E2="",Input_Data!I2=""),"",Input_Data!E2*INDEX(Units!$C$5:$C$19,MATCH(Input_Data!$I2,Units!$A$5:$A$19,0)))</f>
        <v/>
      </c>
      <c r="E2" s="15" t="str">
        <f>IF(OR(Input_Data!F2="",Input_Data!I2=""),"",Input_Data!F2*INDEX(Units!$C$5:$C$19,MATCH(Input_Data!$I2,Units!$A$5:$A$19,0)))</f>
        <v/>
      </c>
      <c r="F2" s="15" t="str">
        <f>IF(OR(Input_Data!G2="",Input_Data!I2=""),"",Input_Data!G2*INDEX(Units!$C$5:$C$19,MATCH(Input_Data!$I2,Units!$A$5:$A$19,0)))</f>
        <v/>
      </c>
      <c r="G2" s="15" t="str">
        <f>IF(OR(Input_Data!H2="",Input_Data!I2=""),"",Input_Data!H2*INDEX(Units!$C$5:$C$19,MATCH(Input_Data!$I2,Units!$A$5:$A$19,0)))</f>
        <v/>
      </c>
      <c r="H2" s="15" t="str">
        <f t="shared" ref="H2:H13" si="0">IF(OR(D2="",F2=""),"",D2+F2)</f>
        <v/>
      </c>
      <c r="I2" s="15" t="str">
        <f t="shared" ref="I2:I13" si="1">IF(OR(H2="",G2=""),"",H2+G2)</f>
        <v/>
      </c>
      <c r="J2" s="15" t="str">
        <f>IF(OR(Input_Data!J2="",Input_Data!K2=""),"",Input_Data!J2*INDEX(Units!$C$5:$C$19,MATCH(Input_Data!$K2,Units!$A$5:$A$19,0)))</f>
        <v/>
      </c>
      <c r="K2" s="16" t="str">
        <f t="shared" ref="K2:K13" si="2">IF(OR(H2="",J2=""),"",H2/J2)</f>
        <v/>
      </c>
      <c r="L2" s="16" t="str">
        <f t="shared" ref="L2:L13" si="3">IF(OR(I2="",J2=""),"",I2/J2)</f>
        <v/>
      </c>
      <c r="M2" s="16" t="str">
        <f>IF(OR(H2="",Input_Data!L2=""),"",H2/Input_Data!L2)</f>
        <v/>
      </c>
      <c r="N2" s="17" t="str">
        <f t="shared" ref="N2:N13" si="4">IF(OR(G2="",I2=""),"",G2/I2)</f>
        <v/>
      </c>
      <c r="O2" s="15" t="str">
        <f>IF(OR(Input_Data!N2="",Input_Data!O2=""),"",Input_Data!N2*INDEX(Units!$C$5:$C$19,MATCH(Input_Data!$O2,Units!$A$5:$A$19,0)))</f>
        <v/>
      </c>
      <c r="P2" s="16" t="str">
        <f t="shared" ref="P2:P13" si="5">IF(OR(O2="",J2=""),"",O2/J2)</f>
        <v/>
      </c>
      <c r="Q2" s="16" t="str">
        <f>IF(OR(Input_Data!P2="",Input_Data!Q2=""),"",Input_Data!P2*INDEX(Units!$C$5:$C$19,MATCH(Input_Data!$Q2,Units!$A$5:$A$19,0)))</f>
        <v/>
      </c>
      <c r="R2" s="17" t="str">
        <f t="shared" ref="R2:R13" si="6">IF(OR(L2="",Q2=""),"",L2/Q2-1)</f>
        <v/>
      </c>
      <c r="S2" s="17" t="str">
        <f>IF(Input_Data!R2="","",Input_Data!R2)</f>
        <v/>
      </c>
      <c r="T2" s="17" t="str">
        <f>IF(Input_Data!S2="","",Input_Data!S2)</f>
        <v/>
      </c>
      <c r="U2" s="17" t="str">
        <f>IF(Input_Data!T2="","",Input_Data!T2)</f>
        <v/>
      </c>
    </row>
    <row r="3" spans="1:21" ht="15" customHeight="1">
      <c r="A3" s="15" t="str">
        <f>IF(Input_Data!A3="","",Input_Data!A3)</f>
        <v>PGE</v>
      </c>
      <c r="B3" s="15" t="str">
        <f>IF(Input_Data!B3="","",Input_Data!B3)</f>
        <v>PGE Polska Grupa Energetyczna</v>
      </c>
      <c r="C3" s="15" t="str">
        <f>IF(Input_Data!C3="","",Input_Data!C3)</f>
        <v>Energy utilities</v>
      </c>
      <c r="D3" s="15">
        <f>IF(OR(Input_Data!E3="",Input_Data!I3=""),"",Input_Data!E3*INDEX(Units!$C$5:$C$19,MATCH(Input_Data!$I3,Units!$A$5:$A$19,0)))</f>
        <v>52200270</v>
      </c>
      <c r="E3" s="15">
        <f>IF(OR(Input_Data!F3="",Input_Data!I3=""),"",Input_Data!F3*INDEX(Units!$C$5:$C$19,MATCH(Input_Data!$I3,Units!$A$5:$A$19,0)))</f>
        <v>1297281</v>
      </c>
      <c r="F3" s="15">
        <f>IF(OR(Input_Data!G3="",Input_Data!I3=""),"",Input_Data!G3*INDEX(Units!$C$5:$C$19,MATCH(Input_Data!$I3,Units!$A$5:$A$19,0)))</f>
        <v>1297281</v>
      </c>
      <c r="G3" s="15">
        <f>IF(OR(Input_Data!H3="",Input_Data!I3=""),"",Input_Data!H3*INDEX(Units!$C$5:$C$19,MATCH(Input_Data!$I3,Units!$A$5:$A$19,0)))</f>
        <v>23907689</v>
      </c>
      <c r="H3" s="15">
        <f t="shared" si="0"/>
        <v>53497551</v>
      </c>
      <c r="I3" s="15">
        <f t="shared" si="1"/>
        <v>77405240</v>
      </c>
      <c r="J3" s="15">
        <f>IF(OR(Input_Data!J3="",Input_Data!K3=""),"",Input_Data!J3*INDEX(Units!$C$5:$C$19,MATCH(Input_Data!$K3,Units!$A$5:$A$19,0)))</f>
        <v>61434</v>
      </c>
      <c r="K3" s="16">
        <f t="shared" si="2"/>
        <v>870.8134095126477</v>
      </c>
      <c r="L3" s="16">
        <f t="shared" si="3"/>
        <v>1259.9739557899534</v>
      </c>
      <c r="M3" s="16">
        <f>IF(OR(H3="",Input_Data!L3=""),"",H3/Input_Data!L3)</f>
        <v>1283.2226193331735</v>
      </c>
      <c r="N3" s="17">
        <f t="shared" si="4"/>
        <v>0.30886396063108906</v>
      </c>
      <c r="O3" s="15">
        <f>IF(OR(Input_Data!N3="",Input_Data!O3=""),"",Input_Data!N3*INDEX(Units!$C$5:$C$19,MATCH(Input_Data!$O3,Units!$A$5:$A$19,0)))</f>
        <v>149493791</v>
      </c>
      <c r="P3" s="16">
        <f t="shared" si="5"/>
        <v>2433.4048084122796</v>
      </c>
      <c r="Q3" s="16">
        <f>IF(OR(Input_Data!P3="",Input_Data!Q3=""),"",Input_Data!P3*INDEX(Units!$C$5:$C$19,MATCH(Input_Data!$Q3,Units!$A$5:$A$19,0)))</f>
        <v>1300</v>
      </c>
      <c r="R3" s="17">
        <f t="shared" si="6"/>
        <v>-3.078926477695898E-2</v>
      </c>
      <c r="S3" s="17">
        <f>IF(Input_Data!R3="","",Input_Data!R3)</f>
        <v>0.246</v>
      </c>
      <c r="T3" s="17">
        <f>IF(Input_Data!S3="","",Input_Data!S3)</f>
        <v>0.42899999999999999</v>
      </c>
      <c r="U3" s="17">
        <f>IF(Input_Data!T3="","",Input_Data!T3)</f>
        <v>0.41199999999999998</v>
      </c>
    </row>
    <row r="4" spans="1:21" ht="15" customHeight="1">
      <c r="A4" s="15" t="str">
        <f>IF(Input_Data!A4="","",Input_Data!A4)</f>
        <v>TPE</v>
      </c>
      <c r="B4" s="15" t="str">
        <f>IF(Input_Data!B4="","",Input_Data!B4)</f>
        <v>Tauron Polska Energia</v>
      </c>
      <c r="C4" s="15" t="str">
        <f>IF(Input_Data!C4="","",Input_Data!C4)</f>
        <v>Energy utilities</v>
      </c>
      <c r="D4" s="15">
        <f>IF(OR(Input_Data!E4="",Input_Data!I4=""),"",Input_Data!E4*INDEX(Units!$C$5:$C$19,MATCH(Input_Data!$I4,Units!$A$5:$A$19,0)))</f>
        <v>9825368</v>
      </c>
      <c r="E4" s="15">
        <f>IF(OR(Input_Data!F4="",Input_Data!I4=""),"",Input_Data!F4*INDEX(Units!$C$5:$C$19,MATCH(Input_Data!$I4,Units!$A$5:$A$19,0)))</f>
        <v>1118942</v>
      </c>
      <c r="F4" s="15">
        <f>IF(OR(Input_Data!G4="",Input_Data!I4=""),"",Input_Data!G4*INDEX(Units!$C$5:$C$19,MATCH(Input_Data!$I4,Units!$A$5:$A$19,0)))</f>
        <v>962262</v>
      </c>
      <c r="G4" s="15">
        <f>IF(OR(Input_Data!H4="",Input_Data!I4=""),"",Input_Data!H4*INDEX(Units!$C$5:$C$19,MATCH(Input_Data!$I4,Units!$A$5:$A$19,0)))</f>
        <v>16060983</v>
      </c>
      <c r="H4" s="15">
        <f t="shared" si="0"/>
        <v>10787630</v>
      </c>
      <c r="I4" s="15">
        <f t="shared" si="1"/>
        <v>26848613</v>
      </c>
      <c r="J4" s="15">
        <f>IF(OR(Input_Data!J4="",Input_Data!K4=""),"",Input_Data!J4*INDEX(Units!$C$5:$C$19,MATCH(Input_Data!$K4,Units!$A$5:$A$19,0)))</f>
        <v>33277</v>
      </c>
      <c r="K4" s="16">
        <f t="shared" si="2"/>
        <v>324.17675872224061</v>
      </c>
      <c r="L4" s="16">
        <f t="shared" si="3"/>
        <v>806.82191904318302</v>
      </c>
      <c r="M4" s="16">
        <f>IF(OR(H4="",Input_Data!L4=""),"",H4/Input_Data!L4)</f>
        <v>559.9019048113355</v>
      </c>
      <c r="N4" s="17">
        <f t="shared" si="4"/>
        <v>0.59820531511255348</v>
      </c>
      <c r="O4" s="15">
        <f>IF(OR(Input_Data!N4="",Input_Data!O4=""),"",Input_Data!N4*INDEX(Units!$C$5:$C$19,MATCH(Input_Data!$O4,Units!$A$5:$A$19,0)))</f>
        <v>31254105</v>
      </c>
      <c r="P4" s="16">
        <f t="shared" si="5"/>
        <v>939.21041560236802</v>
      </c>
      <c r="Q4" s="16">
        <f>IF(OR(Input_Data!P4="",Input_Data!Q4=""),"",Input_Data!P4*INDEX(Units!$C$5:$C$19,MATCH(Input_Data!$Q4,Units!$A$5:$A$19,0)))</f>
        <v>807</v>
      </c>
      <c r="R4" s="17">
        <f t="shared" si="6"/>
        <v>-2.2067033062822539E-4</v>
      </c>
      <c r="S4" s="17">
        <f>IF(Input_Data!R4="","",Input_Data!R4)</f>
        <v>0.38800000000000001</v>
      </c>
      <c r="T4" s="17">
        <f>IF(Input_Data!S4="","",Input_Data!S4)</f>
        <v>0.84499999999999997</v>
      </c>
      <c r="U4" s="17">
        <f>IF(Input_Data!T4="","",Input_Data!T4)</f>
        <v>0.74199999999999999</v>
      </c>
    </row>
    <row r="5" spans="1:21" ht="15" customHeight="1">
      <c r="A5" s="15" t="str">
        <f>IF(Input_Data!A5="","",Input_Data!A5)</f>
        <v>KGH</v>
      </c>
      <c r="B5" s="15" t="str">
        <f>IF(Input_Data!B5="","",Input_Data!B5)</f>
        <v>KGHM Polska Miedz</v>
      </c>
      <c r="C5" s="15" t="str">
        <f>IF(Input_Data!C5="","",Input_Data!C5)</f>
        <v>Metals and mining</v>
      </c>
      <c r="D5" s="15">
        <f>IF(OR(Input_Data!E5="",Input_Data!I5=""),"",Input_Data!E5*INDEX(Units!$C$5:$C$19,MATCH(Input_Data!$I5,Units!$A$5:$A$19,0)))</f>
        <v>2068510</v>
      </c>
      <c r="E5" s="15">
        <f>IF(OR(Input_Data!F5="",Input_Data!I5=""),"",Input_Data!F5*INDEX(Units!$C$5:$C$19,MATCH(Input_Data!$I5,Units!$A$5:$A$19,0)))</f>
        <v>1554657</v>
      </c>
      <c r="F5" s="15">
        <f>IF(OR(Input_Data!G5="",Input_Data!I5=""),"",Input_Data!G5*INDEX(Units!$C$5:$C$19,MATCH(Input_Data!$I5,Units!$A$5:$A$19,0)))</f>
        <v>2105896</v>
      </c>
      <c r="G5" s="15">
        <f>IF(OR(Input_Data!H5="",Input_Data!I5=""),"",Input_Data!H5*INDEX(Units!$C$5:$C$19,MATCH(Input_Data!$I5,Units!$A$5:$A$19,0)))</f>
        <v>2527068</v>
      </c>
      <c r="H5" s="15">
        <f t="shared" si="0"/>
        <v>4174406</v>
      </c>
      <c r="I5" s="15">
        <f t="shared" si="1"/>
        <v>6701474</v>
      </c>
      <c r="J5" s="15">
        <f>IF(OR(Input_Data!J5="",Input_Data!K5=""),"",Input_Data!J5*INDEX(Units!$C$5:$C$19,MATCH(Input_Data!$K5,Units!$A$5:$A$19,0)))</f>
        <v>36342.35</v>
      </c>
      <c r="K5" s="16">
        <f t="shared" si="2"/>
        <v>114.8634031646275</v>
      </c>
      <c r="L5" s="16">
        <f t="shared" si="3"/>
        <v>184.39847725862526</v>
      </c>
      <c r="M5" s="16">
        <f>IF(OR(H5="",Input_Data!L5=""),"",H5/Input_Data!L5)</f>
        <v>121.07799402500217</v>
      </c>
      <c r="N5" s="17">
        <f t="shared" si="4"/>
        <v>0.37709136825719236</v>
      </c>
      <c r="O5" s="15">
        <f>IF(OR(Input_Data!N5="",Input_Data!O5=""),"",Input_Data!N5*INDEX(Units!$C$5:$C$19,MATCH(Input_Data!$O5,Units!$A$5:$A$19,0)))</f>
        <v>8002333</v>
      </c>
      <c r="P5" s="16">
        <f t="shared" si="5"/>
        <v>220.1930530084048</v>
      </c>
      <c r="Q5" s="16">
        <f>IF(OR(Input_Data!P5="",Input_Data!Q5=""),"",Input_Data!P5*INDEX(Units!$C$5:$C$19,MATCH(Input_Data!$Q5,Units!$A$5:$A$19,0)))</f>
        <v>184.398</v>
      </c>
      <c r="R5" s="17">
        <f t="shared" si="6"/>
        <v>2.5881984906384048E-6</v>
      </c>
      <c r="S5" s="17">
        <f>IF(Input_Data!R5="","",Input_Data!R5)</f>
        <v>0</v>
      </c>
      <c r="T5" s="17">
        <f>IF(Input_Data!S5="","",Input_Data!S5)</f>
        <v>0</v>
      </c>
      <c r="U5" s="17">
        <f>IF(Input_Data!T5="","",Input_Data!T5)</f>
        <v>0</v>
      </c>
    </row>
    <row r="6" spans="1:21" ht="15" customHeight="1">
      <c r="A6" s="15" t="str">
        <f>IF(Input_Data!A6="","",Input_Data!A6)</f>
        <v>KTY</v>
      </c>
      <c r="B6" s="15" t="str">
        <f>IF(Input_Data!B6="","",Input_Data!B6)</f>
        <v>Grupa Kety</v>
      </c>
      <c r="C6" s="15" t="str">
        <f>IF(Input_Data!C6="","",Input_Data!C6)</f>
        <v>Industrial manufacturing</v>
      </c>
      <c r="D6" s="15">
        <f>IF(OR(Input_Data!E6="",Input_Data!I6=""),"",Input_Data!E6*INDEX(Units!$C$5:$C$19,MATCH(Input_Data!$I6,Units!$A$5:$A$19,0)))</f>
        <v>41938</v>
      </c>
      <c r="E6" s="15">
        <f>IF(OR(Input_Data!F6="",Input_Data!I6=""),"",Input_Data!F6*INDEX(Units!$C$5:$C$19,MATCH(Input_Data!$I6,Units!$A$5:$A$19,0)))</f>
        <v>112196</v>
      </c>
      <c r="F6" s="15">
        <f>IF(OR(Input_Data!G6="",Input_Data!I6=""),"",Input_Data!G6*INDEX(Units!$C$5:$C$19,MATCH(Input_Data!$I6,Units!$A$5:$A$19,0)))</f>
        <v>118957</v>
      </c>
      <c r="G6" s="15">
        <f>IF(OR(Input_Data!H6="",Input_Data!I6=""),"",Input_Data!H6*INDEX(Units!$C$5:$C$19,MATCH(Input_Data!$I6,Units!$A$5:$A$19,0)))</f>
        <v>1179718</v>
      </c>
      <c r="H6" s="15">
        <f t="shared" si="0"/>
        <v>160895</v>
      </c>
      <c r="I6" s="15">
        <f t="shared" si="1"/>
        <v>1340613</v>
      </c>
      <c r="J6" s="15">
        <f>IF(OR(Input_Data!J6="",Input_Data!K6=""),"",Input_Data!J6*INDEX(Units!$C$5:$C$19,MATCH(Input_Data!$K6,Units!$A$5:$A$19,0)))</f>
        <v>5494.6</v>
      </c>
      <c r="K6" s="16">
        <f t="shared" si="2"/>
        <v>29.282386342954901</v>
      </c>
      <c r="L6" s="16">
        <f t="shared" si="3"/>
        <v>243.98736941724601</v>
      </c>
      <c r="M6" s="16">
        <f>IF(OR(H6="",Input_Data!L6=""),"",H6/Input_Data!L6)</f>
        <v>25.784455128205128</v>
      </c>
      <c r="N6" s="17">
        <f t="shared" si="4"/>
        <v>0.87998400731605619</v>
      </c>
      <c r="O6" s="15">
        <f>IF(OR(Input_Data!N6="",Input_Data!O6=""),"",Input_Data!N6*INDEX(Units!$C$5:$C$19,MATCH(Input_Data!$O6,Units!$A$5:$A$19,0)))</f>
        <v>417391.24</v>
      </c>
      <c r="P6" s="16">
        <f t="shared" si="5"/>
        <v>75.963899100935464</v>
      </c>
      <c r="Q6" s="16" t="str">
        <f>IF(OR(Input_Data!P6="",Input_Data!Q6=""),"",Input_Data!P6*INDEX(Units!$C$5:$C$19,MATCH(Input_Data!$Q6,Units!$A$5:$A$19,0)))</f>
        <v/>
      </c>
      <c r="R6" s="17" t="str">
        <f t="shared" si="6"/>
        <v/>
      </c>
      <c r="S6" s="17">
        <f>IF(Input_Data!R6="","",Input_Data!R6)</f>
        <v>0.255</v>
      </c>
      <c r="T6" s="17">
        <f>IF(Input_Data!S6="","",Input_Data!S6)</f>
        <v>8.5999999999999993E-2</v>
      </c>
      <c r="U6" s="17">
        <f>IF(Input_Data!T6="","",Input_Data!T6)</f>
        <v>0.38</v>
      </c>
    </row>
    <row r="7" spans="1:21" ht="15" customHeight="1">
      <c r="A7" s="15" t="str">
        <f>IF(Input_Data!A7="","",Input_Data!A7)</f>
        <v>ZAB</v>
      </c>
      <c r="B7" s="15" t="str">
        <f>IF(Input_Data!B7="","",Input_Data!B7)</f>
        <v>Grupa Zabka</v>
      </c>
      <c r="C7" s="15" t="str">
        <f>IF(Input_Data!C7="","",Input_Data!C7)</f>
        <v>Food retail</v>
      </c>
      <c r="D7" s="15">
        <f>IF(OR(Input_Data!E7="",Input_Data!I7=""),"",Input_Data!E7*INDEX(Units!$C$5:$C$19,MATCH(Input_Data!$I7,Units!$A$5:$A$19,0)))</f>
        <v>25082</v>
      </c>
      <c r="E7" s="15">
        <f>IF(OR(Input_Data!F7="",Input_Data!I7=""),"",Input_Data!F7*INDEX(Units!$C$5:$C$19,MATCH(Input_Data!$I7,Units!$A$5:$A$19,0)))</f>
        <v>24890</v>
      </c>
      <c r="F7" s="15">
        <f>IF(OR(Input_Data!G7="",Input_Data!I7=""),"",Input_Data!G7*INDEX(Units!$C$5:$C$19,MATCH(Input_Data!$I7,Units!$A$5:$A$19,0)))</f>
        <v>7478</v>
      </c>
      <c r="G7" s="15">
        <f>IF(OR(Input_Data!H7="",Input_Data!I7=""),"",Input_Data!H7*INDEX(Units!$C$5:$C$19,MATCH(Input_Data!$I7,Units!$A$5:$A$19,0)))</f>
        <v>3387108</v>
      </c>
      <c r="H7" s="15">
        <f t="shared" si="0"/>
        <v>32560</v>
      </c>
      <c r="I7" s="15">
        <f t="shared" si="1"/>
        <v>3419668</v>
      </c>
      <c r="J7" s="15">
        <f>IF(OR(Input_Data!J7="",Input_Data!K7=""),"",Input_Data!J7*INDEX(Units!$C$5:$C$19,MATCH(Input_Data!$K7,Units!$A$5:$A$19,0)))</f>
        <v>27153</v>
      </c>
      <c r="K7" s="16">
        <f t="shared" si="2"/>
        <v>1.1991308511030088</v>
      </c>
      <c r="L7" s="16">
        <f t="shared" si="3"/>
        <v>125.94070636762052</v>
      </c>
      <c r="M7" s="16">
        <f>IF(OR(H7="",Input_Data!L7=""),"",H7/Input_Data!L7)</f>
        <v>7.648578811369509</v>
      </c>
      <c r="N7" s="17">
        <f t="shared" si="4"/>
        <v>0.99047860786485709</v>
      </c>
      <c r="O7" s="15">
        <f>IF(OR(Input_Data!N7="",Input_Data!O7=""),"",Input_Data!N7*INDEX(Units!$C$5:$C$19,MATCH(Input_Data!$O7,Units!$A$5:$A$19,0)))</f>
        <v>137548</v>
      </c>
      <c r="P7" s="16">
        <f t="shared" si="5"/>
        <v>5.0656649357345414</v>
      </c>
      <c r="Q7" s="16">
        <f>IF(OR(Input_Data!P7="",Input_Data!Q7=""),"",Input_Data!P7*INDEX(Units!$C$5:$C$19,MATCH(Input_Data!$Q7,Units!$A$5:$A$19,0)))</f>
        <v>125.9</v>
      </c>
      <c r="R7" s="17">
        <f t="shared" si="6"/>
        <v>3.2332301525439533E-4</v>
      </c>
      <c r="S7" s="17">
        <f>IF(Input_Data!R7="","",Input_Data!R7)</f>
        <v>0</v>
      </c>
      <c r="T7" s="17">
        <f>IF(Input_Data!S7="","",Input_Data!S7)</f>
        <v>8.2000000000000003E-2</v>
      </c>
      <c r="U7" s="17">
        <f>IF(Input_Data!T7="","",Input_Data!T7)</f>
        <v>0</v>
      </c>
    </row>
    <row r="8" spans="1:21" ht="15" customHeight="1">
      <c r="A8" s="15" t="str">
        <f>IF(Input_Data!A8="","",Input_Data!A8)</f>
        <v>DNP</v>
      </c>
      <c r="B8" s="15" t="str">
        <f>IF(Input_Data!B8="","",Input_Data!B8)</f>
        <v>Dino Polska</v>
      </c>
      <c r="C8" s="15" t="str">
        <f>IF(Input_Data!C8="","",Input_Data!C8)</f>
        <v>Food retail</v>
      </c>
      <c r="D8" s="15">
        <f>IF(OR(Input_Data!E8="",Input_Data!I8=""),"",Input_Data!E8*INDEX(Units!$C$5:$C$19,MATCH(Input_Data!$I8,Units!$A$5:$A$19,0)))</f>
        <v>41804</v>
      </c>
      <c r="E8" s="15">
        <f>IF(OR(Input_Data!F8="",Input_Data!I8=""),"",Input_Data!F8*INDEX(Units!$C$5:$C$19,MATCH(Input_Data!$I8,Units!$A$5:$A$19,0)))</f>
        <v>135019</v>
      </c>
      <c r="F8" s="15">
        <f>IF(OR(Input_Data!G8="",Input_Data!I8=""),"",Input_Data!G8*INDEX(Units!$C$5:$C$19,MATCH(Input_Data!$I8,Units!$A$5:$A$19,0)))</f>
        <v>207858</v>
      </c>
      <c r="G8" s="15">
        <f>IF(OR(Input_Data!H8="",Input_Data!I8=""),"",Input_Data!H8*INDEX(Units!$C$5:$C$19,MATCH(Input_Data!$I8,Units!$A$5:$A$19,0)))</f>
        <v>7073574</v>
      </c>
      <c r="H8" s="15">
        <f t="shared" si="0"/>
        <v>249662</v>
      </c>
      <c r="I8" s="15">
        <f t="shared" si="1"/>
        <v>7323236</v>
      </c>
      <c r="J8" s="15">
        <f>IF(OR(Input_Data!J8="",Input_Data!K8=""),"",Input_Data!J8*INDEX(Units!$C$5:$C$19,MATCH(Input_Data!$K8,Units!$A$5:$A$19,0)))</f>
        <v>33634.154999999999</v>
      </c>
      <c r="K8" s="16">
        <f t="shared" si="2"/>
        <v>7.4228711855552785</v>
      </c>
      <c r="L8" s="16">
        <f t="shared" si="3"/>
        <v>217.73212378904719</v>
      </c>
      <c r="M8" s="16">
        <f>IF(OR(H8="",Input_Data!L8=""),"",H8/Input_Data!L8)</f>
        <v>4.4697436264680608</v>
      </c>
      <c r="N8" s="17">
        <f t="shared" si="4"/>
        <v>0.96590824056469027</v>
      </c>
      <c r="O8" s="15">
        <f>IF(OR(Input_Data!N8="",Input_Data!O8=""),"",Input_Data!N8*INDEX(Units!$C$5:$C$19,MATCH(Input_Data!$O8,Units!$A$5:$A$19,0)))</f>
        <v>408775</v>
      </c>
      <c r="P8" s="16">
        <f t="shared" si="5"/>
        <v>12.153568299842824</v>
      </c>
      <c r="Q8" s="16">
        <f>IF(OR(Input_Data!P8="",Input_Data!Q8=""),"",Input_Data!P8*INDEX(Units!$C$5:$C$19,MATCH(Input_Data!$Q8,Units!$A$5:$A$19,0)))</f>
        <v>217.7</v>
      </c>
      <c r="R8" s="17">
        <f t="shared" si="6"/>
        <v>1.4755989456682883E-4</v>
      </c>
      <c r="S8" s="17">
        <f>IF(Input_Data!R8="","",Input_Data!R8)</f>
        <v>0</v>
      </c>
      <c r="T8" s="17">
        <f>IF(Input_Data!S8="","",Input_Data!S8)</f>
        <v>0</v>
      </c>
      <c r="U8" s="17">
        <f>IF(Input_Data!T8="","",Input_Data!T8)</f>
        <v>0</v>
      </c>
    </row>
    <row r="9" spans="1:21" ht="15" customHeight="1">
      <c r="A9" s="15" t="str">
        <f>IF(Input_Data!A9="","",Input_Data!A9)</f>
        <v>OPL</v>
      </c>
      <c r="B9" s="15" t="str">
        <f>IF(Input_Data!B9="","",Input_Data!B9)</f>
        <v>Orange Polska</v>
      </c>
      <c r="C9" s="15" t="str">
        <f>IF(Input_Data!C9="","",Input_Data!C9)</f>
        <v>Telecommunications</v>
      </c>
      <c r="D9" s="15">
        <f>IF(OR(Input_Data!E9="",Input_Data!I9=""),"",Input_Data!E9*INDEX(Units!$C$5:$C$19,MATCH(Input_Data!$I9,Units!$A$5:$A$19,0)))</f>
        <v>21538</v>
      </c>
      <c r="E9" s="15">
        <f>IF(OR(Input_Data!F9="",Input_Data!I9=""),"",Input_Data!F9*INDEX(Units!$C$5:$C$19,MATCH(Input_Data!$I9,Units!$A$5:$A$19,0)))</f>
        <v>272838</v>
      </c>
      <c r="F9" s="15">
        <f>IF(OR(Input_Data!G9="",Input_Data!I9=""),"",Input_Data!G9*INDEX(Units!$C$5:$C$19,MATCH(Input_Data!$I9,Units!$A$5:$A$19,0)))</f>
        <v>7354</v>
      </c>
      <c r="G9" s="15">
        <f>IF(OR(Input_Data!H9="",Input_Data!I9=""),"",Input_Data!H9*INDEX(Units!$C$5:$C$19,MATCH(Input_Data!$I9,Units!$A$5:$A$19,0)))</f>
        <v>493158</v>
      </c>
      <c r="H9" s="15">
        <f t="shared" si="0"/>
        <v>28892</v>
      </c>
      <c r="I9" s="15">
        <f t="shared" si="1"/>
        <v>522050</v>
      </c>
      <c r="J9" s="15">
        <f>IF(OR(Input_Data!J9="",Input_Data!K9=""),"",Input_Data!J9*INDEX(Units!$C$5:$C$19,MATCH(Input_Data!$K9,Units!$A$5:$A$19,0)))</f>
        <v>13133</v>
      </c>
      <c r="K9" s="16">
        <f t="shared" si="2"/>
        <v>2.1999543135612578</v>
      </c>
      <c r="L9" s="16">
        <f t="shared" si="3"/>
        <v>39.751008908855553</v>
      </c>
      <c r="M9" s="16">
        <f>IF(OR(H9="",Input_Data!L9=""),"",H9/Input_Data!L9)</f>
        <v>3.5354870288790994</v>
      </c>
      <c r="N9" s="17">
        <f t="shared" si="4"/>
        <v>0.94465664208409161</v>
      </c>
      <c r="O9" s="15">
        <f>IF(OR(Input_Data!N9="",Input_Data!O9=""),"",Input_Data!N9*INDEX(Units!$C$5:$C$19,MATCH(Input_Data!$O9,Units!$A$5:$A$19,0)))</f>
        <v>547748</v>
      </c>
      <c r="P9" s="16">
        <f t="shared" si="5"/>
        <v>41.707759080179699</v>
      </c>
      <c r="Q9" s="16">
        <f>IF(OR(Input_Data!P9="",Input_Data!Q9=""),"",Input_Data!P9*INDEX(Units!$C$5:$C$19,MATCH(Input_Data!$Q9,Units!$A$5:$A$19,0)))</f>
        <v>40</v>
      </c>
      <c r="R9" s="17">
        <f t="shared" si="6"/>
        <v>-6.2247772786111488E-3</v>
      </c>
      <c r="S9" s="17">
        <f>IF(Input_Data!R9="","",Input_Data!R9)</f>
        <v>0</v>
      </c>
      <c r="T9" s="17">
        <f>IF(Input_Data!S9="","",Input_Data!S9)</f>
        <v>0</v>
      </c>
      <c r="U9" s="17">
        <f>IF(Input_Data!T9="","",Input_Data!T9)</f>
        <v>0</v>
      </c>
    </row>
    <row r="10" spans="1:21" ht="15" customHeight="1">
      <c r="A10" s="15" t="str">
        <f>IF(Input_Data!A10="","",Input_Data!A10)</f>
        <v>ALE</v>
      </c>
      <c r="B10" s="15" t="str">
        <f>IF(Input_Data!B10="","",Input_Data!B10)</f>
        <v>Allegro.eu</v>
      </c>
      <c r="C10" s="15" t="str">
        <f>IF(Input_Data!C10="","",Input_Data!C10)</f>
        <v>E-commerce</v>
      </c>
      <c r="D10" s="15">
        <f>IF(OR(Input_Data!E10="",Input_Data!I10=""),"",Input_Data!E10*INDEX(Units!$C$5:$C$19,MATCH(Input_Data!$I10,Units!$A$5:$A$19,0)))</f>
        <v>1803</v>
      </c>
      <c r="E10" s="15">
        <f>IF(OR(Input_Data!F10="",Input_Data!I10=""),"",Input_Data!F10*INDEX(Units!$C$5:$C$19,MATCH(Input_Data!$I10,Units!$A$5:$A$19,0)))</f>
        <v>17739</v>
      </c>
      <c r="F10" s="15">
        <f>IF(OR(Input_Data!G10="",Input_Data!I10=""),"",Input_Data!G10*INDEX(Units!$C$5:$C$19,MATCH(Input_Data!$I10,Units!$A$5:$A$19,0)))</f>
        <v>4017</v>
      </c>
      <c r="G10" s="15">
        <f>IF(OR(Input_Data!H10="",Input_Data!I10=""),"",Input_Data!H10*INDEX(Units!$C$5:$C$19,MATCH(Input_Data!$I10,Units!$A$5:$A$19,0)))</f>
        <v>419552</v>
      </c>
      <c r="H10" s="15">
        <f t="shared" si="0"/>
        <v>5820</v>
      </c>
      <c r="I10" s="15">
        <f t="shared" si="1"/>
        <v>425372</v>
      </c>
      <c r="J10" s="15">
        <f>IF(OR(Input_Data!J10="",Input_Data!K10=""),"",Input_Data!J10*INDEX(Units!$C$5:$C$19,MATCH(Input_Data!$K10,Units!$A$5:$A$19,0)))</f>
        <v>11885.8</v>
      </c>
      <c r="K10" s="16">
        <f t="shared" si="2"/>
        <v>0.48965993033704086</v>
      </c>
      <c r="L10" s="16">
        <f t="shared" si="3"/>
        <v>35.788251527032259</v>
      </c>
      <c r="M10" s="16">
        <f>IF(OR(H10="",Input_Data!L10=""),"",H10/Input_Data!L10)</f>
        <v>0.95566502463054193</v>
      </c>
      <c r="N10" s="17">
        <f t="shared" si="4"/>
        <v>0.98631785825113083</v>
      </c>
      <c r="O10" s="15">
        <f>IF(OR(Input_Data!N10="",Input_Data!O10=""),"",Input_Data!N10*INDEX(Units!$C$5:$C$19,MATCH(Input_Data!$O10,Units!$A$5:$A$19,0)))</f>
        <v>43603</v>
      </c>
      <c r="P10" s="16">
        <f t="shared" si="5"/>
        <v>3.6684951791213045</v>
      </c>
      <c r="Q10" s="16">
        <f>IF(OR(Input_Data!P10="",Input_Data!Q10=""),"",Input_Data!P10*INDEX(Units!$C$5:$C$19,MATCH(Input_Data!$Q10,Units!$A$5:$A$19,0)))</f>
        <v>35.1</v>
      </c>
      <c r="R10" s="17">
        <f t="shared" si="6"/>
        <v>1.9608305613454613E-2</v>
      </c>
      <c r="S10" s="17">
        <f>IF(Input_Data!R10="","",Input_Data!R10)</f>
        <v>1.0000000000000001E-5</v>
      </c>
      <c r="T10" s="17">
        <f>IF(Input_Data!S10="","",Input_Data!S10)</f>
        <v>0.33900000000000002</v>
      </c>
      <c r="U10" s="17">
        <f>IF(Input_Data!T10="","",Input_Data!T10)</f>
        <v>0.40400000000000003</v>
      </c>
    </row>
    <row r="11" spans="1:21" ht="15" customHeight="1">
      <c r="A11" s="15" t="str">
        <f>IF(Input_Data!A11="","",Input_Data!A11)</f>
        <v/>
      </c>
      <c r="B11" s="15" t="str">
        <f>IF(Input_Data!B11="","",Input_Data!B11)</f>
        <v/>
      </c>
      <c r="C11" s="15" t="str">
        <f>IF(Input_Data!C11="","",Input_Data!C11)</f>
        <v/>
      </c>
      <c r="D11" s="15" t="str">
        <f>IF(OR(Input_Data!E11="",Input_Data!I11=""),"",Input_Data!E11*INDEX(Units!$C$5:$C$19,MATCH(Input_Data!$I11,Units!$A$5:$A$19,0)))</f>
        <v/>
      </c>
      <c r="E11" s="15" t="str">
        <f>IF(OR(Input_Data!F11="",Input_Data!I11=""),"",Input_Data!F11*INDEX(Units!$C$5:$C$19,MATCH(Input_Data!$I11,Units!$A$5:$A$19,0)))</f>
        <v/>
      </c>
      <c r="F11" s="15" t="str">
        <f>IF(OR(Input_Data!G11="",Input_Data!I11=""),"",Input_Data!G11*INDEX(Units!$C$5:$C$19,MATCH(Input_Data!$I11,Units!$A$5:$A$19,0)))</f>
        <v/>
      </c>
      <c r="G11" s="15" t="str">
        <f>IF(OR(Input_Data!H11="",Input_Data!I11=""),"",Input_Data!H11*INDEX(Units!$C$5:$C$19,MATCH(Input_Data!$I11,Units!$A$5:$A$19,0)))</f>
        <v/>
      </c>
      <c r="H11" s="15" t="str">
        <f t="shared" si="0"/>
        <v/>
      </c>
      <c r="I11" s="15" t="str">
        <f t="shared" si="1"/>
        <v/>
      </c>
      <c r="J11" s="15" t="str">
        <f>IF(OR(Input_Data!J11="",Input_Data!K11=""),"",Input_Data!J11*INDEX(Units!$C$5:$C$19,MATCH(Input_Data!$K11,Units!$A$5:$A$19,0)))</f>
        <v/>
      </c>
      <c r="K11" s="16" t="str">
        <f t="shared" si="2"/>
        <v/>
      </c>
      <c r="L11" s="16" t="str">
        <f t="shared" si="3"/>
        <v/>
      </c>
      <c r="M11" s="16" t="str">
        <f>IF(OR(H11="",Input_Data!L11=""),"",H11/Input_Data!L11)</f>
        <v/>
      </c>
      <c r="N11" s="17" t="str">
        <f t="shared" si="4"/>
        <v/>
      </c>
      <c r="O11" s="15" t="str">
        <f>IF(OR(Input_Data!N11="",Input_Data!O11=""),"",Input_Data!N11*INDEX(Units!$C$5:$C$19,MATCH(Input_Data!$O11,Units!$A$5:$A$19,0)))</f>
        <v/>
      </c>
      <c r="P11" s="16" t="str">
        <f t="shared" si="5"/>
        <v/>
      </c>
      <c r="Q11" s="16" t="str">
        <f>IF(OR(Input_Data!P11="",Input_Data!Q11=""),"",Input_Data!P11*INDEX(Units!$C$5:$C$19,MATCH(Input_Data!$Q11,Units!$A$5:$A$19,0)))</f>
        <v/>
      </c>
      <c r="R11" s="17" t="str">
        <f t="shared" si="6"/>
        <v/>
      </c>
      <c r="S11" s="17" t="str">
        <f>IF(Input_Data!R11="","",Input_Data!R11)</f>
        <v/>
      </c>
      <c r="T11" s="17" t="str">
        <f>IF(Input_Data!S11="","",Input_Data!S11)</f>
        <v/>
      </c>
      <c r="U11" s="17" t="str">
        <f>IF(Input_Data!T11="","",Input_Data!T11)</f>
        <v/>
      </c>
    </row>
    <row r="12" spans="1:21" ht="15" customHeight="1">
      <c r="A12" s="15" t="str">
        <f>IF(Input_Data!A12="","",Input_Data!A12)</f>
        <v/>
      </c>
      <c r="B12" s="15" t="str">
        <f>IF(Input_Data!B12="","",Input_Data!B12)</f>
        <v/>
      </c>
      <c r="C12" s="15" t="str">
        <f>IF(Input_Data!C12="","",Input_Data!C12)</f>
        <v/>
      </c>
      <c r="D12" s="15" t="str">
        <f>IF(OR(Input_Data!E12="",Input_Data!I12=""),"",Input_Data!E12*INDEX(Units!$C$5:$C$19,MATCH(Input_Data!$I12,Units!$A$5:$A$19,0)))</f>
        <v/>
      </c>
      <c r="E12" s="15" t="str">
        <f>IF(OR(Input_Data!F12="",Input_Data!I12=""),"",Input_Data!F12*INDEX(Units!$C$5:$C$19,MATCH(Input_Data!$I12,Units!$A$5:$A$19,0)))</f>
        <v/>
      </c>
      <c r="F12" s="15" t="str">
        <f>IF(OR(Input_Data!G12="",Input_Data!I12=""),"",Input_Data!G12*INDEX(Units!$C$5:$C$19,MATCH(Input_Data!$I12,Units!$A$5:$A$19,0)))</f>
        <v/>
      </c>
      <c r="G12" s="15" t="str">
        <f>IF(OR(Input_Data!H12="",Input_Data!I12=""),"",Input_Data!H12*INDEX(Units!$C$5:$C$19,MATCH(Input_Data!$I12,Units!$A$5:$A$19,0)))</f>
        <v/>
      </c>
      <c r="H12" s="15" t="str">
        <f t="shared" si="0"/>
        <v/>
      </c>
      <c r="I12" s="15" t="str">
        <f t="shared" si="1"/>
        <v/>
      </c>
      <c r="J12" s="15" t="str">
        <f>IF(OR(Input_Data!J12="",Input_Data!K12=""),"",Input_Data!J12*INDEX(Units!$C$5:$C$19,MATCH(Input_Data!$K12,Units!$A$5:$A$19,0)))</f>
        <v/>
      </c>
      <c r="K12" s="16" t="str">
        <f t="shared" si="2"/>
        <v/>
      </c>
      <c r="L12" s="16" t="str">
        <f t="shared" si="3"/>
        <v/>
      </c>
      <c r="M12" s="16" t="str">
        <f>IF(OR(H12="",Input_Data!L12=""),"",H12/Input_Data!L12)</f>
        <v/>
      </c>
      <c r="N12" s="17" t="str">
        <f t="shared" si="4"/>
        <v/>
      </c>
      <c r="O12" s="15" t="str">
        <f>IF(OR(Input_Data!N12="",Input_Data!O12=""),"",Input_Data!N12*INDEX(Units!$C$5:$C$19,MATCH(Input_Data!$O12,Units!$A$5:$A$19,0)))</f>
        <v/>
      </c>
      <c r="P12" s="16" t="str">
        <f t="shared" si="5"/>
        <v/>
      </c>
      <c r="Q12" s="16" t="str">
        <f>IF(OR(Input_Data!P12="",Input_Data!Q12=""),"",Input_Data!P12*INDEX(Units!$C$5:$C$19,MATCH(Input_Data!$Q12,Units!$A$5:$A$19,0)))</f>
        <v/>
      </c>
      <c r="R12" s="17" t="str">
        <f t="shared" si="6"/>
        <v/>
      </c>
      <c r="S12" s="17" t="str">
        <f>IF(Input_Data!R12="","",Input_Data!R12)</f>
        <v/>
      </c>
      <c r="T12" s="17" t="str">
        <f>IF(Input_Data!S12="","",Input_Data!S12)</f>
        <v/>
      </c>
      <c r="U12" s="17" t="str">
        <f>IF(Input_Data!T12="","",Input_Data!T12)</f>
        <v/>
      </c>
    </row>
    <row r="13" spans="1:21" ht="15" customHeight="1">
      <c r="A13" s="15" t="str">
        <f>IF(Input_Data!A13="","",Input_Data!A13)</f>
        <v/>
      </c>
      <c r="B13" s="15" t="str">
        <f>IF(Input_Data!B13="","",Input_Data!B13)</f>
        <v/>
      </c>
      <c r="C13" s="15" t="str">
        <f>IF(Input_Data!C13="","",Input_Data!C13)</f>
        <v/>
      </c>
      <c r="D13" s="15" t="str">
        <f>IF(OR(Input_Data!E13="",Input_Data!I13=""),"",Input_Data!E13*INDEX(Units!$C$5:$C$19,MATCH(Input_Data!$I13,Units!$A$5:$A$19,0)))</f>
        <v/>
      </c>
      <c r="E13" s="15" t="str">
        <f>IF(OR(Input_Data!F13="",Input_Data!I13=""),"",Input_Data!F13*INDEX(Units!$C$5:$C$19,MATCH(Input_Data!$I13,Units!$A$5:$A$19,0)))</f>
        <v/>
      </c>
      <c r="F13" s="15" t="str">
        <f>IF(OR(Input_Data!G13="",Input_Data!I13=""),"",Input_Data!G13*INDEX(Units!$C$5:$C$19,MATCH(Input_Data!$I13,Units!$A$5:$A$19,0)))</f>
        <v/>
      </c>
      <c r="G13" s="15" t="str">
        <f>IF(OR(Input_Data!H13="",Input_Data!I13=""),"",Input_Data!H13*INDEX(Units!$C$5:$C$19,MATCH(Input_Data!$I13,Units!$A$5:$A$19,0)))</f>
        <v/>
      </c>
      <c r="H13" s="15" t="str">
        <f t="shared" si="0"/>
        <v/>
      </c>
      <c r="I13" s="15" t="str">
        <f t="shared" si="1"/>
        <v/>
      </c>
      <c r="J13" s="15" t="str">
        <f>IF(OR(Input_Data!J13="",Input_Data!K13=""),"",Input_Data!J13*INDEX(Units!$C$5:$C$19,MATCH(Input_Data!$K13,Units!$A$5:$A$19,0)))</f>
        <v/>
      </c>
      <c r="K13" s="16" t="str">
        <f t="shared" si="2"/>
        <v/>
      </c>
      <c r="L13" s="16" t="str">
        <f t="shared" si="3"/>
        <v/>
      </c>
      <c r="M13" s="16" t="str">
        <f>IF(OR(H13="",Input_Data!L13=""),"",H13/Input_Data!L13)</f>
        <v/>
      </c>
      <c r="N13" s="17" t="str">
        <f t="shared" si="4"/>
        <v/>
      </c>
      <c r="O13" s="15" t="str">
        <f>IF(OR(Input_Data!N13="",Input_Data!O13=""),"",Input_Data!N13*INDEX(Units!$C$5:$C$19,MATCH(Input_Data!$O13,Units!$A$5:$A$19,0)))</f>
        <v/>
      </c>
      <c r="P13" s="16" t="str">
        <f t="shared" si="5"/>
        <v/>
      </c>
      <c r="Q13" s="16" t="str">
        <f>IF(OR(Input_Data!P13="",Input_Data!Q13=""),"",Input_Data!P13*INDEX(Units!$C$5:$C$19,MATCH(Input_Data!$Q13,Units!$A$5:$A$19,0)))</f>
        <v/>
      </c>
      <c r="R13" s="17" t="str">
        <f t="shared" si="6"/>
        <v/>
      </c>
      <c r="S13" s="17" t="str">
        <f>IF(Input_Data!R13="","",Input_Data!R13)</f>
        <v/>
      </c>
      <c r="T13" s="17" t="str">
        <f>IF(Input_Data!S13="","",Input_Data!S13)</f>
        <v/>
      </c>
      <c r="U13" s="17" t="str">
        <f>IF(Input_Data!T13="","",Input_Data!T13)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"/>
  <sheetViews>
    <sheetView zoomScaleNormal="100" workbookViewId="0"/>
  </sheetViews>
  <sheetFormatPr baseColWidth="10" defaultColWidth="8.6640625" defaultRowHeight="15"/>
  <cols>
    <col min="1" max="1" width="34" customWidth="1"/>
    <col min="2" max="2" width="20" customWidth="1"/>
    <col min="3" max="3" width="48" customWidth="1"/>
    <col min="4" max="4" width="26" customWidth="1"/>
    <col min="5" max="5" width="30" customWidth="1"/>
    <col min="6" max="6" width="22" customWidth="1"/>
    <col min="7" max="7" width="14" customWidth="1"/>
    <col min="8" max="8" width="30" customWidth="1"/>
    <col min="9" max="9" width="8" customWidth="1"/>
  </cols>
  <sheetData>
    <row r="1" spans="1:9" ht="17.25" customHeight="1">
      <c r="A1" s="18" t="s">
        <v>128</v>
      </c>
      <c r="H1" s="5" t="s">
        <v>129</v>
      </c>
      <c r="I1" s="19">
        <v>0.05</v>
      </c>
    </row>
    <row r="2" spans="1:9" ht="15" customHeight="1">
      <c r="A2" s="20" t="s">
        <v>49</v>
      </c>
      <c r="B2" s="20" t="s">
        <v>130</v>
      </c>
      <c r="C2" s="20" t="s">
        <v>131</v>
      </c>
      <c r="D2" s="20" t="s">
        <v>132</v>
      </c>
      <c r="E2" s="20" t="s">
        <v>133</v>
      </c>
      <c r="F2" s="20" t="s">
        <v>134</v>
      </c>
      <c r="G2" s="20" t="s">
        <v>135</v>
      </c>
    </row>
    <row r="3" spans="1:9" ht="15" customHeight="1">
      <c r="A3" s="6" t="str">
        <f>IF(Input_Data!B2="","",Input_Data!B2)</f>
        <v/>
      </c>
      <c r="B3" s="6" t="str">
        <f>IF(Input_Data!B2="","",(Input_Data!E2="")+(Input_Data!F2="")+(Input_Data!G2="")+(Input_Data!H2="")+(Input_Data!J2="")+(Input_Data!L2=""))</f>
        <v/>
      </c>
      <c r="C3" s="6" t="str">
        <f>IF(Input_Data!B2="","",IF(AND(Input_Data!I2&lt;&gt;"",Input_Data!K2&lt;&gt;""),"OK","Unit missing"))</f>
        <v/>
      </c>
      <c r="D3" s="6" t="str">
        <f>IF(Input_Data!B2="","",IF(Input_Data!M2="","Not stated",Input_Data!M2))</f>
        <v/>
      </c>
      <c r="E3" s="6" t="str">
        <f>IF(Input_Data!B2="","",IF(ISNUMBER(SEARCH("/",Input_Data!D2)),"Non-calendar FY","Calendar"))</f>
        <v/>
      </c>
      <c r="F3" s="6" t="str">
        <f>IF(Input_Data!B2="","",IF(Calculations!R2="","No reported figure",IF(ABS(Calculations!R2)&lt;=$I$1,"OK","CHECK")))</f>
        <v/>
      </c>
      <c r="G3" s="6" t="str">
        <f t="shared" ref="G3:G14" si="0">IF(A3="","",IF(AND(B3=0,C3="OK",F3="OK"),"Validated","Review"))</f>
        <v/>
      </c>
    </row>
    <row r="4" spans="1:9" ht="15" customHeight="1">
      <c r="A4" s="6" t="str">
        <f>IF(Input_Data!B3="","",Input_Data!B3)</f>
        <v>PGE Polska Grupa Energetyczna</v>
      </c>
      <c r="B4" s="6">
        <f>IF(Input_Data!B3="","",(Input_Data!E3="")+(Input_Data!F3="")+(Input_Data!G3="")+(Input_Data!H3="")+(Input_Data!J3="")+(Input_Data!L3=""))</f>
        <v>0</v>
      </c>
      <c r="C4" s="6" t="str">
        <f>IF(Input_Data!B3="","",IF(AND(Input_Data!I3&lt;&gt;"",Input_Data!K3&lt;&gt;""),"OK","Unit missing"))</f>
        <v>OK</v>
      </c>
      <c r="D4" s="6" t="str">
        <f>IF(Input_Data!B3="","",IF(Input_Data!M3="","Not stated",Input_Data!M3))</f>
        <v>Headcount</v>
      </c>
      <c r="E4" s="6" t="str">
        <f>IF(Input_Data!B3="","",IF(ISNUMBER(SEARCH("/",Input_Data!D3)),"Non-calendar FY","Calendar"))</f>
        <v>Calendar</v>
      </c>
      <c r="F4" s="6" t="str">
        <f>IF(Input_Data!B3="","",IF(Calculations!R3="","No reported figure",IF(ABS(Calculations!R3)&lt;=$I$1,"OK","CHECK")))</f>
        <v>OK</v>
      </c>
      <c r="G4" s="6" t="str">
        <f t="shared" si="0"/>
        <v>Validated</v>
      </c>
    </row>
    <row r="5" spans="1:9" ht="15" customHeight="1">
      <c r="A5" s="6" t="str">
        <f>IF(Input_Data!B4="","",Input_Data!B4)</f>
        <v>Tauron Polska Energia</v>
      </c>
      <c r="B5" s="6">
        <f>IF(Input_Data!B4="","",(Input_Data!E4="")+(Input_Data!F4="")+(Input_Data!G4="")+(Input_Data!H4="")+(Input_Data!J4="")+(Input_Data!L4=""))</f>
        <v>0</v>
      </c>
      <c r="C5" s="6" t="str">
        <f>IF(Input_Data!B4="","",IF(AND(Input_Data!I4&lt;&gt;"",Input_Data!K4&lt;&gt;""),"OK","Unit missing"))</f>
        <v>OK</v>
      </c>
      <c r="D5" s="6" t="str">
        <f>IF(Input_Data!B4="","",IF(Input_Data!M4="","Not stated",Input_Data!M4))</f>
        <v>Headcount</v>
      </c>
      <c r="E5" s="6" t="str">
        <f>IF(Input_Data!B4="","",IF(ISNUMBER(SEARCH("/",Input_Data!D4)),"Non-calendar FY","Calendar"))</f>
        <v>Calendar</v>
      </c>
      <c r="F5" s="6" t="str">
        <f>IF(Input_Data!B4="","",IF(Calculations!R4="","No reported figure",IF(ABS(Calculations!R4)&lt;=$I$1,"OK","CHECK")))</f>
        <v>OK</v>
      </c>
      <c r="G5" s="6" t="str">
        <f t="shared" si="0"/>
        <v>Validated</v>
      </c>
    </row>
    <row r="6" spans="1:9" ht="15" customHeight="1">
      <c r="A6" s="6" t="str">
        <f>IF(Input_Data!B5="","",Input_Data!B5)</f>
        <v>KGHM Polska Miedz</v>
      </c>
      <c r="B6" s="6">
        <f>IF(Input_Data!B5="","",(Input_Data!E5="")+(Input_Data!F5="")+(Input_Data!G5="")+(Input_Data!H5="")+(Input_Data!J5="")+(Input_Data!L5=""))</f>
        <v>0</v>
      </c>
      <c r="C6" s="6" t="str">
        <f>IF(Input_Data!B5="","",IF(AND(Input_Data!I5&lt;&gt;"",Input_Data!K5&lt;&gt;""),"OK","Unit missing"))</f>
        <v>OK</v>
      </c>
      <c r="D6" s="6" t="str">
        <f>IF(Input_Data!B5="","",IF(Input_Data!M5="","Not stated",Input_Data!M5))</f>
        <v>Headcount</v>
      </c>
      <c r="E6" s="6" t="str">
        <f>IF(Input_Data!B5="","",IF(ISNUMBER(SEARCH("/",Input_Data!D5)),"Non-calendar FY","Calendar"))</f>
        <v>Calendar</v>
      </c>
      <c r="F6" s="6" t="str">
        <f>IF(Input_Data!B5="","",IF(Calculations!R5="","No reported figure",IF(ABS(Calculations!R5)&lt;=$I$1,"OK","CHECK")))</f>
        <v>OK</v>
      </c>
      <c r="G6" s="6" t="str">
        <f t="shared" si="0"/>
        <v>Validated</v>
      </c>
    </row>
    <row r="7" spans="1:9" ht="15" customHeight="1">
      <c r="A7" s="6" t="str">
        <f>IF(Input_Data!B6="","",Input_Data!B6)</f>
        <v>Grupa Kety</v>
      </c>
      <c r="B7" s="6">
        <f>IF(Input_Data!B6="","",(Input_Data!E6="")+(Input_Data!F6="")+(Input_Data!G6="")+(Input_Data!H6="")+(Input_Data!J6="")+(Input_Data!L6=""))</f>
        <v>0</v>
      </c>
      <c r="C7" s="6" t="str">
        <f>IF(Input_Data!B6="","",IF(AND(Input_Data!I6&lt;&gt;"",Input_Data!K6&lt;&gt;""),"OK","Unit missing"))</f>
        <v>OK</v>
      </c>
      <c r="D7" s="6" t="str">
        <f>IF(Input_Data!B6="","",IF(Input_Data!M6="","Not stated",Input_Data!M6))</f>
        <v>Headcount</v>
      </c>
      <c r="E7" s="6" t="str">
        <f>IF(Input_Data!B6="","",IF(ISNUMBER(SEARCH("/",Input_Data!D6)),"Non-calendar FY","Calendar"))</f>
        <v>Calendar</v>
      </c>
      <c r="F7" s="6" t="str">
        <f>IF(Input_Data!B6="","",IF(Calculations!R6="","No reported figure",IF(ABS(Calculations!R6)&lt;=$I$1,"OK","CHECK")))</f>
        <v>No reported figure</v>
      </c>
      <c r="G7" s="6" t="str">
        <f t="shared" si="0"/>
        <v>Review</v>
      </c>
    </row>
    <row r="8" spans="1:9" ht="15" customHeight="1">
      <c r="A8" s="6" t="str">
        <f>IF(Input_Data!B7="","",Input_Data!B7)</f>
        <v>Grupa Zabka</v>
      </c>
      <c r="B8" s="6">
        <f>IF(Input_Data!B7="","",(Input_Data!E7="")+(Input_Data!F7="")+(Input_Data!G7="")+(Input_Data!H7="")+(Input_Data!J7="")+(Input_Data!L7=""))</f>
        <v>0</v>
      </c>
      <c r="C8" s="6" t="str">
        <f>IF(Input_Data!B7="","",IF(AND(Input_Data!I7&lt;&gt;"",Input_Data!K7&lt;&gt;""),"OK","Unit missing"))</f>
        <v>OK</v>
      </c>
      <c r="D8" s="6" t="str">
        <f>IF(Input_Data!B7="","",IF(Input_Data!M7="","Not stated",Input_Data!M7))</f>
        <v>Headcount</v>
      </c>
      <c r="E8" s="6" t="str">
        <f>IF(Input_Data!B7="","",IF(ISNUMBER(SEARCH("/",Input_Data!D7)),"Non-calendar FY","Calendar"))</f>
        <v>Calendar</v>
      </c>
      <c r="F8" s="6" t="str">
        <f>IF(Input_Data!B7="","",IF(Calculations!R7="","No reported figure",IF(ABS(Calculations!R7)&lt;=$I$1,"OK","CHECK")))</f>
        <v>OK</v>
      </c>
      <c r="G8" s="6" t="str">
        <f t="shared" si="0"/>
        <v>Validated</v>
      </c>
    </row>
    <row r="9" spans="1:9" ht="15" customHeight="1">
      <c r="A9" s="6" t="str">
        <f>IF(Input_Data!B8="","",Input_Data!B8)</f>
        <v>Dino Polska</v>
      </c>
      <c r="B9" s="6">
        <f>IF(Input_Data!B8="","",(Input_Data!E8="")+(Input_Data!F8="")+(Input_Data!G8="")+(Input_Data!H8="")+(Input_Data!J8="")+(Input_Data!L8=""))</f>
        <v>0</v>
      </c>
      <c r="C9" s="6" t="str">
        <f>IF(Input_Data!B8="","",IF(AND(Input_Data!I8&lt;&gt;"",Input_Data!K8&lt;&gt;""),"OK","Unit missing"))</f>
        <v>OK</v>
      </c>
      <c r="D9" s="6" t="str">
        <f>IF(Input_Data!B8="","",IF(Input_Data!M8="","Not stated",Input_Data!M8))</f>
        <v>Headcount</v>
      </c>
      <c r="E9" s="6" t="str">
        <f>IF(Input_Data!B8="","",IF(ISNUMBER(SEARCH("/",Input_Data!D8)),"Non-calendar FY","Calendar"))</f>
        <v>Calendar</v>
      </c>
      <c r="F9" s="6" t="str">
        <f>IF(Input_Data!B8="","",IF(Calculations!R8="","No reported figure",IF(ABS(Calculations!R8)&lt;=$I$1,"OK","CHECK")))</f>
        <v>OK</v>
      </c>
      <c r="G9" s="6" t="str">
        <f t="shared" si="0"/>
        <v>Validated</v>
      </c>
    </row>
    <row r="10" spans="1:9" ht="15" customHeight="1">
      <c r="A10" s="6" t="str">
        <f>IF(Input_Data!B9="","",Input_Data!B9)</f>
        <v>Orange Polska</v>
      </c>
      <c r="B10" s="6">
        <f>IF(Input_Data!B9="","",(Input_Data!E9="")+(Input_Data!F9="")+(Input_Data!G9="")+(Input_Data!H9="")+(Input_Data!J9="")+(Input_Data!L9=""))</f>
        <v>0</v>
      </c>
      <c r="C10" s="6" t="str">
        <f>IF(Input_Data!B9="","",IF(AND(Input_Data!I9&lt;&gt;"",Input_Data!K9&lt;&gt;""),"OK","Unit missing"))</f>
        <v>OK</v>
      </c>
      <c r="D10" s="6" t="str">
        <f>IF(Input_Data!B9="","",IF(Input_Data!M9="","Not stated",Input_Data!M9))</f>
        <v>Headcount</v>
      </c>
      <c r="E10" s="6" t="str">
        <f>IF(Input_Data!B9="","",IF(ISNUMBER(SEARCH("/",Input_Data!D9)),"Non-calendar FY","Calendar"))</f>
        <v>Calendar</v>
      </c>
      <c r="F10" s="6" t="str">
        <f>IF(Input_Data!B9="","",IF(Calculations!R9="","No reported figure",IF(ABS(Calculations!R9)&lt;=$I$1,"OK","CHECK")))</f>
        <v>OK</v>
      </c>
      <c r="G10" s="6" t="str">
        <f t="shared" si="0"/>
        <v>Validated</v>
      </c>
    </row>
    <row r="11" spans="1:9" ht="15" customHeight="1">
      <c r="A11" s="6" t="str">
        <f>IF(Input_Data!B10="","",Input_Data!B10)</f>
        <v>Allegro.eu</v>
      </c>
      <c r="B11" s="6">
        <f>IF(Input_Data!B10="","",(Input_Data!E10="")+(Input_Data!F10="")+(Input_Data!G10="")+(Input_Data!H10="")+(Input_Data!J10="")+(Input_Data!L10=""))</f>
        <v>0</v>
      </c>
      <c r="C11" s="6" t="str">
        <f>IF(Input_Data!B10="","",IF(AND(Input_Data!I10&lt;&gt;"",Input_Data!K10&lt;&gt;""),"OK","Unit missing"))</f>
        <v>OK</v>
      </c>
      <c r="D11" s="6" t="str">
        <f>IF(Input_Data!B10="","",IF(Input_Data!M10="","Not stated",Input_Data!M10))</f>
        <v>Headcount</v>
      </c>
      <c r="E11" s="6" t="str">
        <f>IF(Input_Data!B10="","",IF(ISNUMBER(SEARCH("/",Input_Data!D10)),"Non-calendar FY","Calendar"))</f>
        <v>Calendar</v>
      </c>
      <c r="F11" s="6" t="str">
        <f>IF(Input_Data!B10="","",IF(Calculations!R10="","No reported figure",IF(ABS(Calculations!R10)&lt;=$I$1,"OK","CHECK")))</f>
        <v>OK</v>
      </c>
      <c r="G11" s="6" t="str">
        <f t="shared" si="0"/>
        <v>Validated</v>
      </c>
    </row>
    <row r="12" spans="1:9" ht="15" customHeight="1">
      <c r="A12" s="6" t="str">
        <f>IF(Input_Data!B11="","",Input_Data!B11)</f>
        <v/>
      </c>
      <c r="B12" s="6" t="str">
        <f>IF(Input_Data!B11="","",(Input_Data!E11="")+(Input_Data!F11="")+(Input_Data!G11="")+(Input_Data!H11="")+(Input_Data!J11="")+(Input_Data!L11=""))</f>
        <v/>
      </c>
      <c r="C12" s="6" t="str">
        <f>IF(Input_Data!B11="","",IF(AND(Input_Data!I11&lt;&gt;"",Input_Data!K11&lt;&gt;""),"OK","Unit missing"))</f>
        <v/>
      </c>
      <c r="D12" s="6" t="str">
        <f>IF(Input_Data!B11="","",IF(Input_Data!M11="","Not stated",Input_Data!M11))</f>
        <v/>
      </c>
      <c r="E12" s="6" t="str">
        <f>IF(Input_Data!B11="","",IF(ISNUMBER(SEARCH("/",Input_Data!D11)),"Non-calendar FY","Calendar"))</f>
        <v/>
      </c>
      <c r="F12" s="6" t="str">
        <f>IF(Input_Data!B11="","",IF(Calculations!R11="","No reported figure",IF(ABS(Calculations!R11)&lt;=$I$1,"OK","CHECK")))</f>
        <v/>
      </c>
      <c r="G12" s="6" t="str">
        <f t="shared" si="0"/>
        <v/>
      </c>
    </row>
    <row r="13" spans="1:9" ht="15" customHeight="1">
      <c r="A13" s="6" t="str">
        <f>IF(Input_Data!B12="","",Input_Data!B12)</f>
        <v/>
      </c>
      <c r="B13" s="6" t="str">
        <f>IF(Input_Data!B12="","",(Input_Data!E12="")+(Input_Data!F12="")+(Input_Data!G12="")+(Input_Data!H12="")+(Input_Data!J12="")+(Input_Data!L12=""))</f>
        <v/>
      </c>
      <c r="C13" s="6" t="str">
        <f>IF(Input_Data!B12="","",IF(AND(Input_Data!I12&lt;&gt;"",Input_Data!K12&lt;&gt;""),"OK","Unit missing"))</f>
        <v/>
      </c>
      <c r="D13" s="6" t="str">
        <f>IF(Input_Data!B12="","",IF(Input_Data!M12="","Not stated",Input_Data!M12))</f>
        <v/>
      </c>
      <c r="E13" s="6" t="str">
        <f>IF(Input_Data!B12="","",IF(ISNUMBER(SEARCH("/",Input_Data!D12)),"Non-calendar FY","Calendar"))</f>
        <v/>
      </c>
      <c r="F13" s="6" t="str">
        <f>IF(Input_Data!B12="","",IF(Calculations!R12="","No reported figure",IF(ABS(Calculations!R12)&lt;=$I$1,"OK","CHECK")))</f>
        <v/>
      </c>
      <c r="G13" s="6" t="str">
        <f t="shared" si="0"/>
        <v/>
      </c>
    </row>
    <row r="14" spans="1:9" ht="15" customHeight="1">
      <c r="A14" s="6" t="str">
        <f>IF(Input_Data!B13="","",Input_Data!B13)</f>
        <v/>
      </c>
      <c r="B14" s="6" t="str">
        <f>IF(Input_Data!B13="","",(Input_Data!E13="")+(Input_Data!F13="")+(Input_Data!G13="")+(Input_Data!H13="")+(Input_Data!J13="")+(Input_Data!L13=""))</f>
        <v/>
      </c>
      <c r="C14" s="6" t="str">
        <f>IF(Input_Data!B13="","",IF(AND(Input_Data!I13&lt;&gt;"",Input_Data!K13&lt;&gt;""),"OK","Unit missing"))</f>
        <v/>
      </c>
      <c r="D14" s="6" t="str">
        <f>IF(Input_Data!B13="","",IF(Input_Data!M13="","Not stated",Input_Data!M13))</f>
        <v/>
      </c>
      <c r="E14" s="6" t="str">
        <f>IF(Input_Data!B13="","",IF(ISNUMBER(SEARCH("/",Input_Data!D13)),"Non-calendar FY","Calendar"))</f>
        <v/>
      </c>
      <c r="F14" s="6" t="str">
        <f>IF(Input_Data!B13="","",IF(Calculations!R13="","No reported figure",IF(ABS(Calculations!R13)&lt;=$I$1,"OK","CHECK")))</f>
        <v/>
      </c>
      <c r="G14" s="6" t="str">
        <f t="shared" si="0"/>
        <v/>
      </c>
    </row>
    <row r="17" spans="1:5" ht="17.25" customHeight="1">
      <c r="A17" s="18" t="s">
        <v>136</v>
      </c>
    </row>
    <row r="18" spans="1:5" ht="15" customHeight="1">
      <c r="A18" s="20" t="s">
        <v>49</v>
      </c>
      <c r="B18" s="20" t="s">
        <v>137</v>
      </c>
      <c r="C18" s="20" t="s">
        <v>138</v>
      </c>
      <c r="D18" s="20" t="s">
        <v>139</v>
      </c>
      <c r="E18" s="20" t="s">
        <v>140</v>
      </c>
    </row>
    <row r="19" spans="1:5" ht="15" customHeight="1">
      <c r="A19" s="11" t="s">
        <v>97</v>
      </c>
      <c r="B19" s="11" t="s">
        <v>141</v>
      </c>
      <c r="C19" s="11" t="s">
        <v>142</v>
      </c>
      <c r="D19" s="11" t="s">
        <v>143</v>
      </c>
      <c r="E19" s="11" t="s">
        <v>144</v>
      </c>
    </row>
    <row r="20" spans="1:5" ht="15" customHeight="1">
      <c r="A20" s="11" t="s">
        <v>97</v>
      </c>
      <c r="B20" s="11" t="s">
        <v>141</v>
      </c>
      <c r="C20" s="11" t="s">
        <v>145</v>
      </c>
      <c r="D20" s="11" t="s">
        <v>146</v>
      </c>
      <c r="E20" s="11" t="s">
        <v>147</v>
      </c>
    </row>
    <row r="21" spans="1:5" ht="15" customHeight="1">
      <c r="A21" s="11" t="s">
        <v>97</v>
      </c>
      <c r="B21" s="11" t="s">
        <v>141</v>
      </c>
      <c r="C21" s="11" t="s">
        <v>148</v>
      </c>
      <c r="D21" s="11" t="s">
        <v>149</v>
      </c>
      <c r="E21" s="11" t="s">
        <v>150</v>
      </c>
    </row>
    <row r="22" spans="1:5" ht="15" customHeight="1">
      <c r="A22" s="11" t="s">
        <v>97</v>
      </c>
      <c r="B22" s="11" t="s">
        <v>151</v>
      </c>
      <c r="C22" s="11" t="s">
        <v>152</v>
      </c>
      <c r="D22" s="11" t="s">
        <v>153</v>
      </c>
      <c r="E22" s="11" t="s">
        <v>154</v>
      </c>
    </row>
    <row r="23" spans="1:5" ht="15" customHeight="1">
      <c r="A23" s="11" t="s">
        <v>97</v>
      </c>
      <c r="B23" s="11" t="s">
        <v>155</v>
      </c>
      <c r="C23" s="11" t="s">
        <v>156</v>
      </c>
      <c r="D23" s="11" t="s">
        <v>157</v>
      </c>
      <c r="E23" s="11" t="s">
        <v>158</v>
      </c>
    </row>
    <row r="24" spans="1:5" ht="15" customHeight="1">
      <c r="A24" s="11" t="s">
        <v>106</v>
      </c>
      <c r="B24" s="11" t="s">
        <v>151</v>
      </c>
      <c r="C24" s="11" t="s">
        <v>159</v>
      </c>
      <c r="D24" s="11" t="s">
        <v>160</v>
      </c>
      <c r="E24" s="11" t="s">
        <v>161</v>
      </c>
    </row>
    <row r="25" spans="1:5" ht="15" customHeight="1">
      <c r="A25" s="11" t="s">
        <v>106</v>
      </c>
      <c r="B25" s="11" t="s">
        <v>141</v>
      </c>
      <c r="C25" s="11" t="s">
        <v>162</v>
      </c>
      <c r="D25" s="11" t="s">
        <v>163</v>
      </c>
      <c r="E25" s="11" t="s">
        <v>164</v>
      </c>
    </row>
    <row r="26" spans="1:5" ht="15" customHeight="1">
      <c r="A26" s="11" t="s">
        <v>106</v>
      </c>
      <c r="B26" s="11" t="s">
        <v>165</v>
      </c>
      <c r="C26" s="11" t="s">
        <v>166</v>
      </c>
      <c r="D26" s="11" t="s">
        <v>167</v>
      </c>
      <c r="E26" s="11" t="s">
        <v>168</v>
      </c>
    </row>
    <row r="27" spans="1:5" ht="15" customHeight="1">
      <c r="A27" s="11" t="s">
        <v>106</v>
      </c>
      <c r="B27" s="11" t="s">
        <v>151</v>
      </c>
      <c r="C27" s="11" t="s">
        <v>169</v>
      </c>
      <c r="D27" s="11" t="s">
        <v>170</v>
      </c>
      <c r="E27" s="11" t="s">
        <v>171</v>
      </c>
    </row>
    <row r="28" spans="1:5" ht="15" customHeight="1">
      <c r="A28" s="11" t="s">
        <v>106</v>
      </c>
      <c r="B28" s="11" t="s">
        <v>141</v>
      </c>
      <c r="C28" s="11" t="s">
        <v>172</v>
      </c>
      <c r="D28" s="11" t="s">
        <v>173</v>
      </c>
      <c r="E28" s="11" t="s">
        <v>147</v>
      </c>
    </row>
    <row r="29" spans="1:5" ht="15" customHeight="1">
      <c r="A29" s="11" t="s">
        <v>101</v>
      </c>
      <c r="B29" s="11" t="s">
        <v>174</v>
      </c>
      <c r="C29" s="11" t="s">
        <v>175</v>
      </c>
      <c r="D29" s="11" t="s">
        <v>176</v>
      </c>
      <c r="E29" s="11" t="s">
        <v>177</v>
      </c>
    </row>
    <row r="30" spans="1:5" ht="15" customHeight="1">
      <c r="A30" s="11" t="s">
        <v>101</v>
      </c>
      <c r="B30" s="11" t="s">
        <v>151</v>
      </c>
      <c r="C30" s="11" t="s">
        <v>178</v>
      </c>
      <c r="D30" s="11" t="s">
        <v>179</v>
      </c>
      <c r="E30" s="11" t="s">
        <v>180</v>
      </c>
    </row>
    <row r="31" spans="1:5" ht="15" customHeight="1">
      <c r="A31" s="11" t="s">
        <v>101</v>
      </c>
      <c r="B31" s="11" t="s">
        <v>151</v>
      </c>
      <c r="C31" s="11" t="s">
        <v>181</v>
      </c>
      <c r="D31" s="11" t="s">
        <v>182</v>
      </c>
      <c r="E31" s="11" t="s">
        <v>150</v>
      </c>
    </row>
    <row r="32" spans="1:5" ht="15" customHeight="1">
      <c r="A32" s="11" t="s">
        <v>101</v>
      </c>
      <c r="B32" s="11" t="s">
        <v>141</v>
      </c>
      <c r="C32" s="11" t="s">
        <v>183</v>
      </c>
      <c r="D32" s="11" t="s">
        <v>184</v>
      </c>
      <c r="E32" s="11" t="s">
        <v>185</v>
      </c>
    </row>
    <row r="33" spans="1:5" ht="15" customHeight="1">
      <c r="A33" s="11" t="s">
        <v>101</v>
      </c>
      <c r="B33" s="11" t="s">
        <v>151</v>
      </c>
      <c r="C33" s="11" t="s">
        <v>186</v>
      </c>
      <c r="D33" s="11" t="s">
        <v>187</v>
      </c>
      <c r="E33" s="11" t="s">
        <v>154</v>
      </c>
    </row>
    <row r="34" spans="1:5" ht="15" customHeight="1">
      <c r="A34" s="11" t="s">
        <v>92</v>
      </c>
      <c r="B34" s="11" t="s">
        <v>151</v>
      </c>
      <c r="C34" s="11" t="s">
        <v>188</v>
      </c>
      <c r="D34" s="11" t="s">
        <v>189</v>
      </c>
      <c r="E34" s="11" t="s">
        <v>190</v>
      </c>
    </row>
    <row r="35" spans="1:5" ht="15" customHeight="1">
      <c r="A35" s="11" t="s">
        <v>92</v>
      </c>
      <c r="B35" s="11" t="s">
        <v>155</v>
      </c>
      <c r="C35" s="11" t="s">
        <v>191</v>
      </c>
      <c r="D35" s="11" t="s">
        <v>192</v>
      </c>
      <c r="E35" s="11" t="s">
        <v>193</v>
      </c>
    </row>
    <row r="36" spans="1:5" ht="15" customHeight="1">
      <c r="A36" s="11" t="s">
        <v>92</v>
      </c>
      <c r="B36" s="11" t="s">
        <v>141</v>
      </c>
      <c r="C36" s="11" t="s">
        <v>194</v>
      </c>
      <c r="D36" s="11" t="s">
        <v>195</v>
      </c>
      <c r="E36" s="11" t="s">
        <v>196</v>
      </c>
    </row>
    <row r="37" spans="1:5" ht="15" customHeight="1">
      <c r="A37" s="11" t="s">
        <v>92</v>
      </c>
      <c r="B37" s="11" t="s">
        <v>151</v>
      </c>
      <c r="C37" s="11" t="s">
        <v>197</v>
      </c>
      <c r="D37" s="11" t="s">
        <v>170</v>
      </c>
      <c r="E37" s="11" t="s">
        <v>198</v>
      </c>
    </row>
    <row r="38" spans="1:5" ht="15" customHeight="1">
      <c r="A38" s="11" t="s">
        <v>92</v>
      </c>
      <c r="B38" s="11" t="s">
        <v>151</v>
      </c>
      <c r="C38" s="11" t="s">
        <v>199</v>
      </c>
      <c r="D38" s="11" t="s">
        <v>200</v>
      </c>
      <c r="E38" s="11" t="s">
        <v>154</v>
      </c>
    </row>
    <row r="39" spans="1:5" ht="15" customHeight="1">
      <c r="A39" s="21" t="s">
        <v>87</v>
      </c>
      <c r="B39" s="21" t="s">
        <v>201</v>
      </c>
      <c r="C39" s="21" t="s">
        <v>202</v>
      </c>
      <c r="D39" s="21" t="s">
        <v>203</v>
      </c>
      <c r="E39" s="21" t="s">
        <v>204</v>
      </c>
    </row>
    <row r="40" spans="1:5" ht="15" customHeight="1">
      <c r="A40" s="21" t="s">
        <v>87</v>
      </c>
      <c r="B40" s="21" t="s">
        <v>141</v>
      </c>
      <c r="C40" s="21" t="s">
        <v>205</v>
      </c>
      <c r="D40" s="21" t="s">
        <v>206</v>
      </c>
      <c r="E40" s="21" t="s">
        <v>185</v>
      </c>
    </row>
    <row r="41" spans="1:5" ht="15" customHeight="1">
      <c r="A41" s="21" t="s">
        <v>87</v>
      </c>
      <c r="B41" s="21" t="s">
        <v>141</v>
      </c>
      <c r="C41" s="21" t="s">
        <v>207</v>
      </c>
      <c r="D41" s="21" t="s">
        <v>208</v>
      </c>
      <c r="E41" s="21" t="s">
        <v>147</v>
      </c>
    </row>
    <row r="42" spans="1:5" ht="15" customHeight="1">
      <c r="A42" s="21" t="s">
        <v>87</v>
      </c>
      <c r="B42" s="21" t="s">
        <v>151</v>
      </c>
      <c r="C42" s="21" t="s">
        <v>209</v>
      </c>
      <c r="D42" s="21" t="s">
        <v>210</v>
      </c>
      <c r="E42" s="21" t="s">
        <v>168</v>
      </c>
    </row>
    <row r="43" spans="1:5" ht="15" customHeight="1">
      <c r="A43" s="21" t="s">
        <v>87</v>
      </c>
      <c r="B43" s="21" t="s">
        <v>155</v>
      </c>
      <c r="C43" s="21" t="s">
        <v>211</v>
      </c>
      <c r="D43" s="21" t="s">
        <v>212</v>
      </c>
      <c r="E43" s="21" t="s">
        <v>158</v>
      </c>
    </row>
    <row r="44" spans="1:5" ht="15" customHeight="1">
      <c r="A44" s="21" t="s">
        <v>82</v>
      </c>
      <c r="B44" s="21" t="s">
        <v>151</v>
      </c>
      <c r="C44" s="21" t="s">
        <v>213</v>
      </c>
      <c r="D44" s="21" t="s">
        <v>214</v>
      </c>
      <c r="E44" s="21" t="s">
        <v>215</v>
      </c>
    </row>
    <row r="45" spans="1:5" ht="15" customHeight="1">
      <c r="A45" s="21" t="s">
        <v>82</v>
      </c>
      <c r="B45" s="21" t="s">
        <v>155</v>
      </c>
      <c r="C45" s="21" t="s">
        <v>216</v>
      </c>
      <c r="D45" s="21" t="s">
        <v>217</v>
      </c>
      <c r="E45" s="21" t="s">
        <v>158</v>
      </c>
    </row>
    <row r="46" spans="1:5" ht="15" customHeight="1">
      <c r="A46" s="21" t="s">
        <v>82</v>
      </c>
      <c r="B46" s="21" t="s">
        <v>141</v>
      </c>
      <c r="C46" s="21" t="s">
        <v>218</v>
      </c>
      <c r="D46" s="21" t="s">
        <v>219</v>
      </c>
      <c r="E46" s="21" t="s">
        <v>147</v>
      </c>
    </row>
    <row r="47" spans="1:5" ht="15" customHeight="1">
      <c r="A47" s="21" t="s">
        <v>82</v>
      </c>
      <c r="B47" s="21" t="s">
        <v>141</v>
      </c>
      <c r="C47" s="21" t="s">
        <v>220</v>
      </c>
      <c r="D47" s="21" t="s">
        <v>221</v>
      </c>
      <c r="E47" s="21" t="s">
        <v>168</v>
      </c>
    </row>
    <row r="48" spans="1:5" ht="15" customHeight="1">
      <c r="A48" s="21" t="s">
        <v>82</v>
      </c>
      <c r="B48" s="21" t="s">
        <v>151</v>
      </c>
      <c r="C48" s="21" t="s">
        <v>222</v>
      </c>
      <c r="D48" s="21" t="s">
        <v>223</v>
      </c>
      <c r="E48" s="21" t="s">
        <v>154</v>
      </c>
    </row>
    <row r="49" spans="1:5" ht="15" customHeight="1">
      <c r="A49" s="21" t="s">
        <v>70</v>
      </c>
      <c r="B49" s="21" t="s">
        <v>174</v>
      </c>
      <c r="C49" s="21" t="s">
        <v>224</v>
      </c>
      <c r="D49" s="21" t="s">
        <v>225</v>
      </c>
      <c r="E49" s="21" t="s">
        <v>226</v>
      </c>
    </row>
    <row r="50" spans="1:5" ht="15" customHeight="1">
      <c r="A50" s="21" t="s">
        <v>70</v>
      </c>
      <c r="B50" s="21" t="s">
        <v>141</v>
      </c>
      <c r="C50" s="21" t="s">
        <v>227</v>
      </c>
      <c r="D50" s="21" t="s">
        <v>228</v>
      </c>
      <c r="E50" s="21" t="s">
        <v>147</v>
      </c>
    </row>
    <row r="51" spans="1:5" ht="15" customHeight="1">
      <c r="A51" s="21" t="s">
        <v>70</v>
      </c>
      <c r="B51" s="21" t="s">
        <v>141</v>
      </c>
      <c r="C51" s="21" t="s">
        <v>229</v>
      </c>
      <c r="D51" s="21" t="s">
        <v>230</v>
      </c>
      <c r="E51" s="21" t="s">
        <v>231</v>
      </c>
    </row>
    <row r="52" spans="1:5" ht="15" customHeight="1">
      <c r="A52" s="21" t="s">
        <v>70</v>
      </c>
      <c r="B52" s="21" t="s">
        <v>155</v>
      </c>
      <c r="C52" s="21" t="s">
        <v>232</v>
      </c>
      <c r="D52" s="21" t="s">
        <v>233</v>
      </c>
      <c r="E52" s="21" t="s">
        <v>234</v>
      </c>
    </row>
    <row r="53" spans="1:5" ht="15" customHeight="1">
      <c r="A53" s="21" t="s">
        <v>70</v>
      </c>
      <c r="B53" s="21" t="s">
        <v>155</v>
      </c>
      <c r="C53" s="21" t="s">
        <v>235</v>
      </c>
      <c r="D53" s="21" t="s">
        <v>236</v>
      </c>
      <c r="E53" s="21" t="s">
        <v>158</v>
      </c>
    </row>
    <row r="54" spans="1:5" ht="15" customHeight="1">
      <c r="A54" s="21" t="s">
        <v>78</v>
      </c>
      <c r="B54" s="21" t="s">
        <v>155</v>
      </c>
      <c r="C54" s="21" t="s">
        <v>237</v>
      </c>
      <c r="D54" s="21" t="s">
        <v>238</v>
      </c>
      <c r="E54" s="21" t="s">
        <v>158</v>
      </c>
    </row>
    <row r="55" spans="1:5" ht="15" customHeight="1">
      <c r="A55" s="21" t="s">
        <v>78</v>
      </c>
      <c r="B55" s="21" t="s">
        <v>141</v>
      </c>
      <c r="C55" s="21" t="s">
        <v>239</v>
      </c>
      <c r="D55" s="21" t="s">
        <v>240</v>
      </c>
      <c r="E55" s="21" t="s">
        <v>234</v>
      </c>
    </row>
    <row r="56" spans="1:5" ht="15" customHeight="1">
      <c r="A56" s="21" t="s">
        <v>78</v>
      </c>
      <c r="B56" s="21" t="s">
        <v>141</v>
      </c>
      <c r="C56" s="21" t="s">
        <v>241</v>
      </c>
      <c r="D56" s="21" t="s">
        <v>242</v>
      </c>
      <c r="E56" s="21" t="s">
        <v>168</v>
      </c>
    </row>
    <row r="57" spans="1:5" ht="15" customHeight="1">
      <c r="A57" s="21" t="s">
        <v>78</v>
      </c>
      <c r="B57" s="21" t="s">
        <v>151</v>
      </c>
      <c r="C57" s="21" t="s">
        <v>243</v>
      </c>
      <c r="D57" s="21" t="s">
        <v>244</v>
      </c>
      <c r="E57" s="21" t="s">
        <v>168</v>
      </c>
    </row>
    <row r="58" spans="1:5" ht="15" customHeight="1">
      <c r="A58" s="21" t="s">
        <v>78</v>
      </c>
      <c r="B58" s="21" t="s">
        <v>155</v>
      </c>
      <c r="C58" s="21" t="s">
        <v>245</v>
      </c>
      <c r="D58" s="21" t="s">
        <v>246</v>
      </c>
      <c r="E58" s="21" t="s">
        <v>158</v>
      </c>
    </row>
    <row r="59" spans="1:5" ht="15" customHeight="1">
      <c r="A59" s="21"/>
      <c r="B59" s="21"/>
      <c r="C59" s="21"/>
      <c r="D59" s="21"/>
      <c r="E59" s="21"/>
    </row>
    <row r="60" spans="1:5" ht="15" customHeight="1">
      <c r="A60" s="21"/>
      <c r="B60" s="21"/>
      <c r="C60" s="21"/>
      <c r="D60" s="21"/>
      <c r="E60" s="21"/>
    </row>
  </sheetData>
  <dataValidations count="1">
    <dataValidation type="list" allowBlank="1" sqref="B19:B60" xr:uid="{00000000-0002-0000-0400-000000000000}">
      <formula1>"Missing value,Unit inconsistency,Boundary or scope difference,Restatement,Non-calendar period,Methodology unclear,Other"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05E5D-6980-9741-A6D0-16979C27E3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Units</vt:lpstr>
      <vt:lpstr>Units1</vt:lpstr>
      <vt:lpstr>PQ_Output</vt:lpstr>
      <vt:lpstr>Input_Data</vt:lpstr>
      <vt:lpstr>Calculations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Matteo De Gianni</cp:lastModifiedBy>
  <cp:revision>0</cp:revision>
  <dcterms:created xsi:type="dcterms:W3CDTF">2026-10-10T09:03:35Z</dcterms:created>
  <dcterms:modified xsi:type="dcterms:W3CDTF">2026-10-10T20:40:40Z</dcterms:modified>
  <dc:language>en-US</dc:language>
</cp:coreProperties>
</file>